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Parametros" sheetId="2" state="visible" r:id="rId4"/>
    <sheet name="Rubrica" sheetId="3" state="visible" r:id="rId5"/>
    <sheet name="Plantilla" sheetId="4" state="visible" r:id="rId6"/>
    <sheet name="Educ.ar" sheetId="5" state="visible" r:id="rId7"/>
    <sheet name="Scratch" sheetId="6" state="visible" r:id="rId8"/>
    <sheet name="Comparac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<sst xmlns="http://schemas.openxmlformats.org/spreadsheetml/2006/main" count="447" uniqueCount="230">
  <si>
    <t xml:space="preserve">Modelo CODA-Rural: evaluación de la calidad de recursos educativos digitales en contextos de baja conectividad</t>
  </si>
  <si>
    <t xml:space="preserve">Autor: Jorge Guillermo Federico Castro Cervantes · Especialización en Aplicación de TIC para la Enseñanza, Universidad de Santander · Evaluación de Recursos Educativos Digitales · 2026</t>
  </si>
  <si>
    <t xml:space="preserve">Cómo usar este instrumento</t>
  </si>
  <si>
    <t xml:space="preserve">1. Haga una copia de la hoja «Plantilla» y cámbiele el nombre por el del recurso.</t>
  </si>
  <si>
    <t xml:space="preserve">2. Llene la ficha A (datos del recurso) y la lista B (pruebas de contexto: equipo con conexión, celular, modo avión, peso).</t>
  </si>
  <si>
    <t xml:space="preserve">3. En la tabla C escriba un puntaje de 1 a 5 por criterio (o NA si no aplica) y la evidencia observada. Use la hoja «Rúbrica» para elegir el nivel.</t>
  </si>
  <si>
    <t xml:space="preserve">4. El bloque D calcula solo: promedio por dimensión, índice global (IGC), nivel, decisión y regla de contexto.</t>
  </si>
  <si>
    <t xml:space="preserve">5. Registre en E qué deben mejorar el recurso o su uso (aspectos técnicos, pedagógicos y comunicacionales).</t>
  </si>
  <si>
    <t xml:space="preserve">Convenciones</t>
  </si>
  <si>
    <t xml:space="preserve">Celdas con fondo amarillo: las llena el evaluador. Celdas con fondo gris: fórmulas, no se editan.</t>
  </si>
  <si>
    <t xml:space="preserve">Las hojas «Educ.ar» y «Scratch» son ejemplos llenos: la aplicación del Entregable 2.</t>
  </si>
  <si>
    <t xml:space="preserve">Escala: 1 Deficiente · 2 Insuficiente · 3 Aceptable · 4 Bueno · 5 Excelente · NA No aplica (no cuenta en el promedio).</t>
  </si>
  <si>
    <t xml:space="preserve">Pesos: Pedagógica 40 % · Comunicacional 25 % · Técnica y de contexto 35 % (hoja «Parametros»).</t>
  </si>
  <si>
    <t xml:space="preserve">Niveles del IGC: 4,00 a 5,00 Alto (Recomendado) · 3,00 a 3,99 Medio (Recomendado con ajustes) · 1,00 a 2,99 Bajo (No recomendado).</t>
  </si>
  <si>
    <t xml:space="preserve">Regla de contexto: si C11 o C12 obtiene 1 o 2, la decisión no puede ser «Recomendado»; pasa a «Recomendado con condiciones de uso» y el evaluador debe registrar un plan alterno.</t>
  </si>
  <si>
    <t xml:space="preserve">Parámetros del modelo</t>
  </si>
  <si>
    <t xml:space="preserve">Dimensión</t>
  </si>
  <si>
    <t xml:space="preserve">Peso</t>
  </si>
  <si>
    <t xml:space="preserve">Pedagógica</t>
  </si>
  <si>
    <t xml:space="preserve">Comunicacional</t>
  </si>
  <si>
    <t xml:space="preserve">Técnica y de contexto</t>
  </si>
  <si>
    <t xml:space="preserve">Total</t>
  </si>
  <si>
    <t xml:space="preserve">IGC mínimo</t>
  </si>
  <si>
    <t xml:space="preserve">Nivel</t>
  </si>
  <si>
    <t xml:space="preserve">Decisión</t>
  </si>
  <si>
    <t xml:space="preserve">Alto</t>
  </si>
  <si>
    <t xml:space="preserve">Recomendado</t>
  </si>
  <si>
    <t xml:space="preserve">Medio</t>
  </si>
  <si>
    <t xml:space="preserve">Recomendado con ajustes</t>
  </si>
  <si>
    <t xml:space="preserve">Bajo</t>
  </si>
  <si>
    <t xml:space="preserve">No recomendado</t>
  </si>
  <si>
    <t xml:space="preserve">Los pesos son decisión del autor del modelo (justificación en el informe, sección Métrica o escala de valoración).</t>
  </si>
  <si>
    <t xml:space="preserve">Dim.</t>
  </si>
  <si>
    <t xml:space="preserve">Criterio</t>
  </si>
  <si>
    <t xml:space="preserve">Origen</t>
  </si>
  <si>
    <t xml:space="preserve">Indicadores observables</t>
  </si>
  <si>
    <t xml:space="preserve">1 · Deficiente</t>
  </si>
  <si>
    <t xml:space="preserve">2 · Insuficiente</t>
  </si>
  <si>
    <t xml:space="preserve">3 · Aceptable</t>
  </si>
  <si>
    <t xml:space="preserve">4 · Bueno</t>
  </si>
  <si>
    <t xml:space="preserve">5 · Excelente</t>
  </si>
  <si>
    <t xml:space="preserve">C1. Objetivos y coherencia didáctica</t>
  </si>
  <si>
    <t xml:space="preserve">COdA 1</t>
  </si>
  <si>
    <t xml:space="preserve">• El recurso declara objetivos o resultados de aprendizaje.
• Contenidos, actividades y evaluación responden a esos objetivos y al nivel del grupo.</t>
  </si>
  <si>
    <t xml:space="preserve">No declara objetivos y no se identifica qué se aprende.</t>
  </si>
  <si>
    <t xml:space="preserve">Los objetivos se deducen, pero contenidos y actividades no se relacionan con ellos.</t>
  </si>
  <si>
    <t xml:space="preserve">Declara objetivos generales; parte de las actividades no se alinea o el destinatario es otro (p. ej., docentes).</t>
  </si>
  <si>
    <t xml:space="preserve">Declara objetivos y casi todo se alinea; requiere ajustes menores para el grado.</t>
  </si>
  <si>
    <t xml:space="preserve">Objetivos explícitos, alineados con contenidos, actividades y evaluación, y adecuados al grado sin ajustes.</t>
  </si>
  <si>
    <t xml:space="preserve">C2. Calidad de los contenidos</t>
  </si>
  <si>
    <t xml:space="preserve">COdA 2</t>
  </si>
  <si>
    <t xml:space="preserve">• La información es correcta y su fuente es identificable.
• Es vigente y sus ejemplos sirven en el contexto colombiano y rural.</t>
  </si>
  <si>
    <t xml:space="preserve">Tiene errores conceptuales o la fuente es desconocida.</t>
  </si>
  <si>
    <t xml:space="preserve">Es correcta, pero está desactualizada o incompleta en puntos clave.</t>
  </si>
  <si>
    <t xml:space="preserve">Es correcta y con fuente; varios ejemplos deben adaptarse al contexto.</t>
  </si>
  <si>
    <t xml:space="preserve">Es correcta, vigente y con fuente; algunos ejemplos deben adaptarse.</t>
  </si>
  <si>
    <t xml:space="preserve">Es correcta, vigente, de fuente institucional, y sus ejemplos se usan sin adaptar.</t>
  </si>
  <si>
    <t xml:space="preserve">C3. Reflexión, crítica e innovación</t>
  </si>
  <si>
    <t xml:space="preserve">COdA 3 + Reeves (rol del estudiante)</t>
  </si>
  <si>
    <t xml:space="preserve">• Plantea problemas, retos o preguntas abiertas.
• El estudiante elabora un producto propio.</t>
  </si>
  <si>
    <t xml:space="preserve">Solo presenta información para leer.</t>
  </si>
  <si>
    <t xml:space="preserve">Solo hace preguntas de memoria.</t>
  </si>
  <si>
    <t xml:space="preserve">Pide reproducir pasos indicados (práctica guiada).</t>
  </si>
  <si>
    <t xml:space="preserve">Plantea retos o casos con más de una solución.</t>
  </si>
  <si>
    <t xml:space="preserve">El estudiante crea productos propios, los comparte y los mejora.</t>
  </si>
  <si>
    <t xml:space="preserve">C4. Interactividad y retroalimentación</t>
  </si>
  <si>
    <t xml:space="preserve">COdA 4 + Reeves (valor del error)</t>
  </si>
  <si>
    <t xml:space="preserve">• Incluye actividades en las que el sistema responde a lo que hace el estudiante.
• La respuesta explica el error o muestra el resultado de inmediato.</t>
  </si>
  <si>
    <t xml:space="preserve">Lectura lineal, sin interacción.</t>
  </si>
  <si>
    <t xml:space="preserve">La interacción es solo de navegación (avanzar, ampliar); no hay actividades.</t>
  </si>
  <si>
    <t xml:space="preserve">Hay actividades con retroalimentación de acierto o error.</t>
  </si>
  <si>
    <t xml:space="preserve">La retroalimentación explica el error o el resultado se ve de inmediato.</t>
  </si>
  <si>
    <t xml:space="preserve">Retroalimentación inmediata y el recorrido se adapta a las decisiones del estudiante.</t>
  </si>
  <si>
    <t xml:space="preserve">C5. Motivación</t>
  </si>
  <si>
    <t xml:space="preserve">COdA 5</t>
  </si>
  <si>
    <t xml:space="preserve">• Conecta con los intereses o la vida diaria del estudiante.
• Incluye un reto, un juego o un producto que invita a continuar.</t>
  </si>
  <si>
    <t xml:space="preserve">No conecta con el estudiante.</t>
  </si>
  <si>
    <t xml:space="preserve">Usa ejemplos lejanos a su realidad.</t>
  </si>
  <si>
    <t xml:space="preserve">Es útil, pero nada invita a continuar.</t>
  </si>
  <si>
    <t xml:space="preserve">Es útil e incluye al menos un reto, juego o producto.</t>
  </si>
  <si>
    <t xml:space="preserve">La propia actividad (crear, jugar, compartir) genera deseo de continuar.</t>
  </si>
  <si>
    <t xml:space="preserve">C6. Formato y diseño</t>
  </si>
  <si>
    <t xml:space="preserve">COdA 6</t>
  </si>
  <si>
    <t xml:space="preserve">• El texto es legible: tamaño y contraste suficientes.
• Hay jerarquía visual y espacio en blanco; las imágenes cumplen una función.</t>
  </si>
  <si>
    <t xml:space="preserve">Ilegible o saturado.</t>
  </si>
  <si>
    <t xml:space="preserve">Se lee con esfuerzo; bloques densos de texto.</t>
  </si>
  <si>
    <t xml:space="preserve">Legible, con algunas pantallas saturadas.</t>
  </si>
  <si>
    <t xml:space="preserve">Legible y ordenado; las imágenes apoyan el contenido.</t>
  </si>
  <si>
    <t xml:space="preserve">Además, el diseño es consistente en todas las pantallas.</t>
  </si>
  <si>
    <t xml:space="preserve">C7. Usabilidad</t>
  </si>
  <si>
    <t xml:space="preserve">COdA 7</t>
  </si>
  <si>
    <t xml:space="preserve">• El estudiante sabe cómo empezar y avanzar sin ayuda.
• Siempre sabe dónde está y puede volver atrás.</t>
  </si>
  <si>
    <t xml:space="preserve">No logra usarlo sin ayuda constante.</t>
  </si>
  <si>
    <t xml:space="preserve">Necesita ayuda en varios pasos.</t>
  </si>
  <si>
    <t xml:space="preserve">Necesita ayuda solo al inicio.</t>
  </si>
  <si>
    <t xml:space="preserve">Lo usa solo, con instrucciones mínimas.</t>
  </si>
  <si>
    <t xml:space="preserve">Lo usa solo desde el primer intento; la navegación es clara y reversible.</t>
  </si>
  <si>
    <t xml:space="preserve">C8. Accesibilidad</t>
  </si>
  <si>
    <t xml:space="preserve">COdA 8</t>
  </si>
  <si>
    <t xml:space="preserve">• Está en español, con lenguaje claro.
• Ofrece alternativas: texto para audio o video, versión descargable, ajuste de tamaño.</t>
  </si>
  <si>
    <t xml:space="preserve">En otro idioma o con lenguaje inaccesible.</t>
  </si>
  <si>
    <t xml:space="preserve">En español, con lenguaje técnico y sin apoyos.</t>
  </si>
  <si>
    <t xml:space="preserve">En español claro, sin alternativas.</t>
  </si>
  <si>
    <t xml:space="preserve">En español claro y con al menos una alternativa.</t>
  </si>
  <si>
    <t xml:space="preserve">En español claro y con varias alternativas verificadas.</t>
  </si>
  <si>
    <t xml:space="preserve">C9. Reusabilidad y licencia</t>
  </si>
  <si>
    <t xml:space="preserve">COdA 9</t>
  </si>
  <si>
    <t xml:space="preserve">• Declara una licencia abierta.
• Se puede descargar, adaptar o remezclar.</t>
  </si>
  <si>
    <t xml:space="preserve">Sin licencia o con todos los derechos reservados.</t>
  </si>
  <si>
    <t xml:space="preserve">Uso gratuito, pero sin licencia declarada.</t>
  </si>
  <si>
    <t xml:space="preserve">Licencia abierta que impide modificar (ND).</t>
  </si>
  <si>
    <t xml:space="preserve">Licencia abierta con restricciones (p. ej., NC) o sin archivo fuente editable.</t>
  </si>
  <si>
    <t xml:space="preserve">Licencia abierta que permite modificar y archivo fuente editable.</t>
  </si>
  <si>
    <t xml:space="preserve">C10. Interoperabilidad</t>
  </si>
  <si>
    <t xml:space="preserve">COdA 10 + UNE 71362</t>
  </si>
  <si>
    <t xml:space="preserve">• Se descarga o exporta en formatos abiertos o comunes.
• Se integra al aula virtual institucional (enlace, incrustación o paquete estándar).</t>
  </si>
  <si>
    <t xml:space="preserve">Solo funciona dentro de su plataforma, sin enlace estable.</t>
  </si>
  <si>
    <t xml:space="preserve">Tiene enlace estable, sin descarga.</t>
  </si>
  <si>
    <t xml:space="preserve">Enlace estable y descarga en formato común (PDF, imagen) o incrustable.</t>
  </si>
  <si>
    <t xml:space="preserve">Exporta en un formato propio abierto y se puede incrustar.</t>
  </si>
  <si>
    <t xml:space="preserve">Se distribuye como paquete estándar (SCORM, IMS) o con metadatos estándar.</t>
  </si>
  <si>
    <t xml:space="preserve">C11. Funcionamiento sin conexión</t>
  </si>
  <si>
    <t xml:space="preserve">Nuevo (contexto)</t>
  </si>
  <si>
    <t xml:space="preserve">• El recurso se puede descargar completo.
• Después de la descarga, la actividad principal funciona en modo avión.</t>
  </si>
  <si>
    <t xml:space="preserve">Exige conexión permanente.</t>
  </si>
  <si>
    <t xml:space="preserve">Solo se descargan materiales de apoyo.</t>
  </si>
  <si>
    <t xml:space="preserve">Se descarga el contenido, pero la actividad principal exige conexión.</t>
  </si>
  <si>
    <t xml:space="preserve">La actividad principal funciona sin conexión, solo en algunos equipos de la institución.</t>
  </si>
  <si>
    <t xml:space="preserve">Funciona completo sin conexión en todos los equipos disponibles, incluido el celular.</t>
  </si>
  <si>
    <t xml:space="preserve">C12. Funcionamiento en celular</t>
  </si>
  <si>
    <t xml:space="preserve">• La actividad principal se puede realizar en un celular Android.
• El recurso es liviano o permite bajo consumo de datos.</t>
  </si>
  <si>
    <t xml:space="preserve">La actividad principal no se puede realizar en celular.</t>
  </si>
  <si>
    <t xml:space="preserve">Se ve en el celular, pero con fallas que impiden completarla.</t>
  </si>
  <si>
    <t xml:space="preserve">Se completa en el celular con dificultad (ampliar, desplazar de lado) o con alto consumo.</t>
  </si>
  <si>
    <t xml:space="preserve">Se completa en el celular con ajustes menores.</t>
  </si>
  <si>
    <t xml:space="preserve">Diseño adaptable: se completa sin dificultad y con bajo consumo.</t>
  </si>
  <si>
    <t xml:space="preserve">Instrumento CODA-Rural · Ficha de evaluación de un RED</t>
  </si>
  <si>
    <t xml:space="preserve">Amarillo: lo llena el evaluador · Gris: fórmula</t>
  </si>
  <si>
    <t xml:space="preserve">A. Identificación del recurso</t>
  </si>
  <si>
    <t xml:space="preserve">Nombre del RED</t>
  </si>
  <si>
    <t xml:space="preserve">Autor / repositorio</t>
  </si>
  <si>
    <t xml:space="preserve">Enlace</t>
  </si>
  <si>
    <t xml:space="preserve">Área y grado</t>
  </si>
  <si>
    <t xml:space="preserve">Evaluador y fecha</t>
  </si>
  <si>
    <t xml:space="preserve">B. Pruebas de contexto (registrar antes de puntuar)</t>
  </si>
  <si>
    <t xml:space="preserve">Prueba</t>
  </si>
  <si>
    <t xml:space="preserve">Qué se hace</t>
  </si>
  <si>
    <t xml:space="preserve">Resultado</t>
  </si>
  <si>
    <t xml:space="preserve">Observación</t>
  </si>
  <si>
    <t xml:space="preserve">P1</t>
  </si>
  <si>
    <t xml:space="preserve">Abrir el recurso en un computador con conexión.</t>
  </si>
  <si>
    <t xml:space="preserve">P2</t>
  </si>
  <si>
    <t xml:space="preserve">Abrir y usar la actividad principal en un celular Android.</t>
  </si>
  <si>
    <t xml:space="preserve">P3</t>
  </si>
  <si>
    <t xml:space="preserve">Descargar el recurso y usarlo en modo avión.</t>
  </si>
  <si>
    <t xml:space="preserve">P4</t>
  </si>
  <si>
    <t xml:space="preserve">Registrar el peso de la descarga o el consumo de datos.</t>
  </si>
  <si>
    <t xml:space="preserve">C. Rúbrica de valoración (1 a 5 o NA)</t>
  </si>
  <si>
    <t xml:space="preserve">Puntaje</t>
  </si>
  <si>
    <t xml:space="preserve">Evidencia observada</t>
  </si>
  <si>
    <t xml:space="preserve">D. Resultados (cálculo automático)</t>
  </si>
  <si>
    <t xml:space="preserve">← promedio por dimensión</t>
  </si>
  <si>
    <t xml:space="preserve">Índice global (IGC)</t>
  </si>
  <si>
    <t xml:space="preserve">Porcentaje</t>
  </si>
  <si>
    <t xml:space="preserve">Regla de contexto</t>
  </si>
  <si>
    <t xml:space="preserve">E. Elementos por mejorar (en el recurso o en su uso)</t>
  </si>
  <si>
    <t xml:space="preserve">Técnico: </t>
  </si>
  <si>
    <t xml:space="preserve">Pedagógico: </t>
  </si>
  <si>
    <t xml:space="preserve">Comunicacional: </t>
  </si>
  <si>
    <t xml:space="preserve">Microcurso «Aprendé a usar el Paquete Google»</t>
  </si>
  <si>
    <t xml:space="preserve">Educ.ar (Argentina)</t>
  </si>
  <si>
    <t xml:space="preserve">https://www.educ.ar/recursos/157415/microcurso-aprende-a-usar-el-paquete-google</t>
  </si>
  <si>
    <t xml:space="preserve">Tecnología e Informática · grado 9.°</t>
  </si>
  <si>
    <t xml:space="preserve">Jorge Guillermo Federico Castro Cervantes · octubre de 2026</t>
  </si>
  <si>
    <t xml:space="preserve">Sí</t>
  </si>
  <si>
    <t xml:space="preserve">Visor web por secciones y pantalla completa.</t>
  </si>
  <si>
    <t xml:space="preserve">Parcial</t>
  </si>
  <si>
    <t xml:space="preserve">Se consulta en el navegador; el visor está pensado para pantalla grande.</t>
  </si>
  <si>
    <t xml:space="preserve">El contenido se descarga; practicar Gmail, Drive y Calendar exige conexión.</t>
  </si>
  <si>
    <t xml:space="preserve">Se registra al descargar en la sala de informática.</t>
  </si>
  <si>
    <t xml:space="preserve">Declara qué se aprende (Gmail, Drive y Calendar), pero sus ejemplos se dirigen a la planificación docente; para 9.° hay que reformular las metas.</t>
  </si>
  <si>
    <t xml:space="preserve">Contenido correcto y de un portal oficial; los ejemplos son de Argentina y deben adaptarse al aula colombiana.</t>
  </si>
  <si>
    <t xml:space="preserve">Es un tutorial: el estudiante repite pasos (crear cuenta, enviar un correo, agendar), sin retos abiertos.</t>
  </si>
  <si>
    <t xml:space="preserve">El visor permite avanzar por secciones y ampliar; no hay actividades con retroalimentación automática.</t>
  </si>
  <si>
    <t xml:space="preserve">Útil para la vida escolar y laboral, pero sin reto ni juego.</t>
  </si>
  <si>
    <t xml:space="preserve">Pantallas ordenadas, con imágenes de la interfaz que apoyan los pasos.</t>
  </si>
  <si>
    <t xml:space="preserve">Avance por secciones claro; se recorre sin ayuda.</t>
  </si>
  <si>
    <t xml:space="preserve">En español y con opción de descarga como formato alternativo.</t>
  </si>
  <si>
    <t xml:space="preserve">Licencia CC BY-NC-SA declarada; no ofrece archivo fuente editable.</t>
  </si>
  <si>
    <t xml:space="preserve">Enlace estable y descarga; no está empaquetado en SCORM/IMS.</t>
  </si>
  <si>
    <t xml:space="preserve">El contenido se descarga, pero practicar Gmail, Drive y Calendar exige conexión.</t>
  </si>
  <si>
    <t xml:space="preserve">Se consulta desde el navegador del celular, pero el visor está pensado para pantalla grande y las prácticas usan la versión web de las herramientas.</t>
  </si>
  <si>
    <t xml:space="preserve">Técnico: ofrecer una versión liviana descargable (PDF o HTML) y un tutorial de las apps de Gmail y Drive para celular.</t>
  </si>
  <si>
    <t xml:space="preserve">Pedagógico: agregar actividades de práctica con retroalimentación y metas para estudiantes de 9.°.</t>
  </si>
  <si>
    <t xml:space="preserve">Comunicacional: incluir ejemplos colombianos (correo a la alcaldía, a la institución, a una empresa).</t>
  </si>
  <si>
    <t xml:space="preserve">Scratch: entorno de programación por bloques</t>
  </si>
  <si>
    <t xml:space="preserve">Lifelong Kindergarten Group, MIT Media Lab</t>
  </si>
  <si>
    <t xml:space="preserve">https://scratch.mit.edu/</t>
  </si>
  <si>
    <t xml:space="preserve">Editor en línea completo.</t>
  </si>
  <si>
    <t xml:space="preserve">No</t>
  </si>
  <si>
    <t xml:space="preserve">En celular solo se ven proyectos; no se crean ni editan (FAQ de Scratch).</t>
  </si>
  <si>
    <t xml:space="preserve">Aplicación de escritorio sin conexión solo para Windows y Mac.</t>
  </si>
  <si>
    <t xml:space="preserve">Se registra al instalar la aplicación de escritorio.</t>
  </si>
  <si>
    <t xml:space="preserve">Es un entorno abierto: los tutoriales tienen metas, pero los objetivos de clase los define el docente.</t>
  </si>
  <si>
    <t xml:space="preserve">Entorno sólido, documentado y en uso internacional.</t>
  </si>
  <si>
    <t xml:space="preserve">El estudiante crea juegos e historias propios, los comparte y los remezcla.</t>
  </si>
  <si>
    <t xml:space="preserve">Cada bloque se ejecuta y el resultado se ve al instante en el escenario.</t>
  </si>
  <si>
    <t xml:space="preserve">Crear, jugar y compartir sostiene el interés.</t>
  </si>
  <si>
    <t xml:space="preserve">Editor claro: escenario, objetos y bloques por colores.</t>
  </si>
  <si>
    <t xml:space="preserve">Arrastrar y soltar; se usa solo desde el primer intento.</t>
  </si>
  <si>
    <t xml:space="preserve">En español y con tutoriales en video y texto; depende mucho de lo visual.</t>
  </si>
  <si>
    <t xml:space="preserve">Proyectos compartidos bajo licencia Creative Commons Compartir Igual; se remezclan.</t>
  </si>
  <si>
    <t xml:space="preserve">Exporta archivos .sb3 y los proyectos se pueden incrustar; no ofrece SCORM.</t>
  </si>
  <si>
    <t xml:space="preserve">La aplicación de escritorio funciona sin conexión, pero solo en Windows y Mac (Scratch Foundation, s. f.).</t>
  </si>
  <si>
    <t xml:space="preserve">En el celular solo se pueden ver proyectos; no se pueden crear ni editar (Scratch Foundation, s. f.).</t>
  </si>
  <si>
    <t xml:space="preserve">Técnico: instalar la aplicación de escritorio en los equipos Windows de la sala; preparar proyectos para ver en celular.</t>
  </si>
  <si>
    <t xml:space="preserve">Pedagógico: el docente define metas por sesión y retos con criterios de logro.</t>
  </si>
  <si>
    <t xml:space="preserve">Comunicacional: guía impresa de bloques para quienes no tienen equipo (programación desconectada).</t>
  </si>
  <si>
    <t xml:space="preserve">Fuente de evidencia de C11 y C12 en Scratch: Scratch Foundation (s. f.), Preguntas frecuentes, https://scratch.mit.edu/faq</t>
  </si>
  <si>
    <t xml:space="preserve">Comparación con los modelos aplicados en el Entregable 1 (escala 1 a 5)</t>
  </si>
  <si>
    <t xml:space="preserve">Recurso</t>
  </si>
  <si>
    <t xml:space="preserve">COdA (E1)</t>
  </si>
  <si>
    <t xml:space="preserve">LORI (E1)</t>
  </si>
  <si>
    <t xml:space="preserve">Reeves (E1)</t>
  </si>
  <si>
    <t xml:space="preserve">CODA-Rural (E2)</t>
  </si>
  <si>
    <t xml:space="preserve">Decisión CODA-Rural</t>
  </si>
  <si>
    <t xml:space="preserve">Educ.ar</t>
  </si>
  <si>
    <t xml:space="preserve">Scratch</t>
  </si>
  <si>
    <t xml:space="preserve">Fuente de COdA, LORI y Reeves: Castro Cervantes (2026), Entregable 1, tablas de aplicación (puntuación final de cada modelo).</t>
  </si>
  <si>
    <t xml:space="preserve">Diferencia CODA-Rural − promedio de los tres modelos del E1: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</si>
</sst>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0"/>
    <numFmt numFmtId="167" formatCode="0.0%"/>
    <numFmt numFmtId="168" formatCode="0.0"/>
    <numFmt numFmtId="169" formatCode="\+0.00;\-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color rgb="FF0B6E6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A4A0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4C2"/>
        <bgColor rgb="FFFDEBD8"/>
      </patternFill>
    </fill>
    <fill>
      <patternFill patternType="solid">
        <fgColor rgb="FFFDEBD8"/>
        <bgColor rgb="FFFFF4C2"/>
      </patternFill>
    </fill>
    <fill>
      <patternFill patternType="solid">
        <fgColor rgb="FF0B6E69"/>
        <bgColor rgb="FF008080"/>
      </patternFill>
    </fill>
    <fill>
      <patternFill patternType="solid">
        <fgColor rgb="FFF2F2F2"/>
        <bgColor rgb="FFFDEB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E69"/>
      <rgbColor rgb="FFBFBFBF"/>
      <rgbColor rgb="FF808080"/>
      <rgbColor rgb="FF9999FF"/>
      <rgbColor rgb="FF993366"/>
      <rgbColor rgb="FFFFF4C2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BD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A4A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2.8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5" t="s">
        <v>4</v>
      </c>
    </row>
    <row r="7" customFormat="false" ht="23.85" hidden="false" customHeight="false" outlineLevel="0" collapsed="false">
      <c r="A7" s="5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5" t="s">
        <v>12</v>
      </c>
    </row>
    <row r="16" customFormat="false" ht="23.85" hidden="false" customHeight="false" outlineLevel="0" collapsed="false">
      <c r="A16" s="5" t="s">
        <v>13</v>
      </c>
    </row>
    <row r="17" customFormat="false" ht="23.85" hidden="false" customHeight="false" outlineLevel="0" collapsed="false">
      <c r="A17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7" t="s">
        <v>15</v>
      </c>
    </row>
    <row r="3" customFormat="false" ht="15" hidden="false" customHeight="false" outlineLevel="0" collapsed="false">
      <c r="A3" s="8" t="s">
        <v>16</v>
      </c>
      <c r="B3" s="8" t="s">
        <v>17</v>
      </c>
    </row>
    <row r="4" customFormat="false" ht="15" hidden="false" customHeight="false" outlineLevel="0" collapsed="false">
      <c r="A4" s="9" t="s">
        <v>18</v>
      </c>
      <c r="B4" s="10" t="n">
        <v>0.4</v>
      </c>
    </row>
    <row r="5" customFormat="false" ht="15" hidden="false" customHeight="false" outlineLevel="0" collapsed="false">
      <c r="A5" s="9" t="s">
        <v>19</v>
      </c>
      <c r="B5" s="10" t="n">
        <v>0.25</v>
      </c>
    </row>
    <row r="6" customFormat="false" ht="15" hidden="false" customHeight="false" outlineLevel="0" collapsed="false">
      <c r="A6" s="9" t="s">
        <v>20</v>
      </c>
      <c r="B6" s="10" t="n">
        <v>0.35</v>
      </c>
    </row>
    <row r="7" customFormat="false" ht="15" hidden="false" customHeight="false" outlineLevel="0" collapsed="false">
      <c r="A7" s="11" t="s">
        <v>21</v>
      </c>
      <c r="B7" s="12" t="n">
        <f aca="false">SUM(B4:B6)</f>
        <v>1</v>
      </c>
    </row>
    <row r="9" customFormat="false" ht="15" hidden="false" customHeight="false" outlineLevel="0" collapsed="false">
      <c r="A9" s="8" t="s">
        <v>22</v>
      </c>
      <c r="B9" s="8" t="s">
        <v>23</v>
      </c>
      <c r="C9" s="8" t="s">
        <v>24</v>
      </c>
    </row>
    <row r="10" customFormat="false" ht="15" hidden="false" customHeight="false" outlineLevel="0" collapsed="false">
      <c r="A10" s="13" t="n">
        <v>4</v>
      </c>
      <c r="B10" s="9" t="s">
        <v>25</v>
      </c>
      <c r="C10" s="9" t="s">
        <v>26</v>
      </c>
    </row>
    <row r="11" customFormat="false" ht="15" hidden="false" customHeight="false" outlineLevel="0" collapsed="false">
      <c r="A11" s="13" t="n">
        <v>3</v>
      </c>
      <c r="B11" s="9" t="s">
        <v>27</v>
      </c>
      <c r="C11" s="9" t="s">
        <v>28</v>
      </c>
    </row>
    <row r="12" customFormat="false" ht="15" hidden="false" customHeight="false" outlineLevel="0" collapsed="false">
      <c r="A12" s="13" t="n">
        <v>1</v>
      </c>
      <c r="B12" s="9" t="s">
        <v>29</v>
      </c>
      <c r="C12" s="9" t="s">
        <v>30</v>
      </c>
    </row>
    <row r="14" customFormat="false" ht="15" hidden="false" customHeight="false" outlineLevel="0" collapsed="false">
      <c r="A14" s="1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9" min="5" style="0" width="24"/>
  </cols>
  <sheetData>
    <row r="1" customFormat="false" ht="15" hidden="false" customHeight="false" outlineLevel="0" collapsed="false">
      <c r="A1" s="15" t="s">
        <v>32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  <c r="G1" s="15" t="s">
        <v>38</v>
      </c>
      <c r="H1" s="15" t="s">
        <v>39</v>
      </c>
      <c r="I1" s="15" t="s">
        <v>40</v>
      </c>
    </row>
    <row r="2" customFormat="false" ht="78" hidden="false" customHeight="true" outlineLevel="0" collapsed="false">
      <c r="A2" s="16" t="s">
        <v>18</v>
      </c>
      <c r="B2" s="17" t="s">
        <v>41</v>
      </c>
      <c r="C2" s="16" t="s">
        <v>42</v>
      </c>
      <c r="D2" s="16" t="s">
        <v>43</v>
      </c>
      <c r="E2" s="16" t="s">
        <v>44</v>
      </c>
      <c r="F2" s="16" t="s">
        <v>45</v>
      </c>
      <c r="G2" s="16" t="s">
        <v>46</v>
      </c>
      <c r="H2" s="16" t="s">
        <v>47</v>
      </c>
      <c r="I2" s="16" t="s">
        <v>48</v>
      </c>
    </row>
    <row r="3" customFormat="false" ht="78" hidden="false" customHeight="true" outlineLevel="0" collapsed="false">
      <c r="A3" s="16" t="s">
        <v>18</v>
      </c>
      <c r="B3" s="17" t="s">
        <v>49</v>
      </c>
      <c r="C3" s="16" t="s">
        <v>50</v>
      </c>
      <c r="D3" s="16" t="s">
        <v>51</v>
      </c>
      <c r="E3" s="16" t="s">
        <v>52</v>
      </c>
      <c r="F3" s="16" t="s">
        <v>53</v>
      </c>
      <c r="G3" s="16" t="s">
        <v>54</v>
      </c>
      <c r="H3" s="16" t="s">
        <v>55</v>
      </c>
      <c r="I3" s="16" t="s">
        <v>56</v>
      </c>
    </row>
    <row r="4" customFormat="false" ht="78" hidden="false" customHeight="true" outlineLevel="0" collapsed="false">
      <c r="A4" s="16" t="s">
        <v>18</v>
      </c>
      <c r="B4" s="17" t="s">
        <v>57</v>
      </c>
      <c r="C4" s="16" t="s">
        <v>58</v>
      </c>
      <c r="D4" s="16" t="s">
        <v>59</v>
      </c>
      <c r="E4" s="16" t="s">
        <v>60</v>
      </c>
      <c r="F4" s="16" t="s">
        <v>61</v>
      </c>
      <c r="G4" s="16" t="s">
        <v>62</v>
      </c>
      <c r="H4" s="16" t="s">
        <v>63</v>
      </c>
      <c r="I4" s="16" t="s">
        <v>64</v>
      </c>
    </row>
    <row r="5" customFormat="false" ht="78" hidden="false" customHeight="true" outlineLevel="0" collapsed="false">
      <c r="A5" s="16" t="s">
        <v>18</v>
      </c>
      <c r="B5" s="17" t="s">
        <v>65</v>
      </c>
      <c r="C5" s="16" t="s">
        <v>66</v>
      </c>
      <c r="D5" s="16" t="s">
        <v>67</v>
      </c>
      <c r="E5" s="16" t="s">
        <v>68</v>
      </c>
      <c r="F5" s="16" t="s">
        <v>69</v>
      </c>
      <c r="G5" s="16" t="s">
        <v>70</v>
      </c>
      <c r="H5" s="16" t="s">
        <v>71</v>
      </c>
      <c r="I5" s="16" t="s">
        <v>72</v>
      </c>
    </row>
    <row r="6" customFormat="false" ht="78" hidden="false" customHeight="true" outlineLevel="0" collapsed="false">
      <c r="A6" s="16" t="s">
        <v>19</v>
      </c>
      <c r="B6" s="17" t="s">
        <v>73</v>
      </c>
      <c r="C6" s="16" t="s">
        <v>74</v>
      </c>
      <c r="D6" s="16" t="s">
        <v>75</v>
      </c>
      <c r="E6" s="16" t="s">
        <v>76</v>
      </c>
      <c r="F6" s="16" t="s">
        <v>77</v>
      </c>
      <c r="G6" s="16" t="s">
        <v>78</v>
      </c>
      <c r="H6" s="16" t="s">
        <v>79</v>
      </c>
      <c r="I6" s="16" t="s">
        <v>80</v>
      </c>
    </row>
    <row r="7" customFormat="false" ht="78" hidden="false" customHeight="true" outlineLevel="0" collapsed="false">
      <c r="A7" s="16" t="s">
        <v>19</v>
      </c>
      <c r="B7" s="17" t="s">
        <v>81</v>
      </c>
      <c r="C7" s="16" t="s">
        <v>82</v>
      </c>
      <c r="D7" s="16" t="s">
        <v>83</v>
      </c>
      <c r="E7" s="16" t="s">
        <v>84</v>
      </c>
      <c r="F7" s="16" t="s">
        <v>85</v>
      </c>
      <c r="G7" s="16" t="s">
        <v>86</v>
      </c>
      <c r="H7" s="16" t="s">
        <v>87</v>
      </c>
      <c r="I7" s="16" t="s">
        <v>88</v>
      </c>
    </row>
    <row r="8" customFormat="false" ht="78" hidden="false" customHeight="true" outlineLevel="0" collapsed="false">
      <c r="A8" s="16" t="s">
        <v>19</v>
      </c>
      <c r="B8" s="17" t="s">
        <v>89</v>
      </c>
      <c r="C8" s="16" t="s">
        <v>90</v>
      </c>
      <c r="D8" s="16" t="s">
        <v>91</v>
      </c>
      <c r="E8" s="16" t="s">
        <v>92</v>
      </c>
      <c r="F8" s="16" t="s">
        <v>93</v>
      </c>
      <c r="G8" s="16" t="s">
        <v>94</v>
      </c>
      <c r="H8" s="16" t="s">
        <v>95</v>
      </c>
      <c r="I8" s="16" t="s">
        <v>96</v>
      </c>
    </row>
    <row r="9" customFormat="false" ht="78" hidden="false" customHeight="true" outlineLevel="0" collapsed="false">
      <c r="A9" s="16" t="s">
        <v>19</v>
      </c>
      <c r="B9" s="17" t="s">
        <v>97</v>
      </c>
      <c r="C9" s="16" t="s">
        <v>98</v>
      </c>
      <c r="D9" s="16" t="s">
        <v>99</v>
      </c>
      <c r="E9" s="16" t="s">
        <v>100</v>
      </c>
      <c r="F9" s="16" t="s">
        <v>101</v>
      </c>
      <c r="G9" s="16" t="s">
        <v>102</v>
      </c>
      <c r="H9" s="16" t="s">
        <v>103</v>
      </c>
      <c r="I9" s="16" t="s">
        <v>104</v>
      </c>
    </row>
    <row r="10" customFormat="false" ht="78" hidden="false" customHeight="true" outlineLevel="0" collapsed="false">
      <c r="A10" s="16" t="s">
        <v>20</v>
      </c>
      <c r="B10" s="17" t="s">
        <v>105</v>
      </c>
      <c r="C10" s="16" t="s">
        <v>106</v>
      </c>
      <c r="D10" s="16" t="s">
        <v>107</v>
      </c>
      <c r="E10" s="16" t="s">
        <v>108</v>
      </c>
      <c r="F10" s="16" t="s">
        <v>109</v>
      </c>
      <c r="G10" s="16" t="s">
        <v>110</v>
      </c>
      <c r="H10" s="16" t="s">
        <v>111</v>
      </c>
      <c r="I10" s="16" t="s">
        <v>112</v>
      </c>
    </row>
    <row r="11" customFormat="false" ht="78" hidden="false" customHeight="true" outlineLevel="0" collapsed="false">
      <c r="A11" s="16" t="s">
        <v>20</v>
      </c>
      <c r="B11" s="17" t="s">
        <v>113</v>
      </c>
      <c r="C11" s="16" t="s">
        <v>114</v>
      </c>
      <c r="D11" s="16" t="s">
        <v>115</v>
      </c>
      <c r="E11" s="16" t="s">
        <v>116</v>
      </c>
      <c r="F11" s="16" t="s">
        <v>117</v>
      </c>
      <c r="G11" s="16" t="s">
        <v>118</v>
      </c>
      <c r="H11" s="16" t="s">
        <v>119</v>
      </c>
      <c r="I11" s="16" t="s">
        <v>120</v>
      </c>
    </row>
    <row r="12" customFormat="false" ht="78" hidden="false" customHeight="true" outlineLevel="0" collapsed="false">
      <c r="A12" s="18" t="s">
        <v>20</v>
      </c>
      <c r="B12" s="19" t="s">
        <v>121</v>
      </c>
      <c r="C12" s="18" t="s">
        <v>122</v>
      </c>
      <c r="D12" s="18" t="s">
        <v>123</v>
      </c>
      <c r="E12" s="18" t="s">
        <v>124</v>
      </c>
      <c r="F12" s="18" t="s">
        <v>125</v>
      </c>
      <c r="G12" s="18" t="s">
        <v>126</v>
      </c>
      <c r="H12" s="18" t="s">
        <v>127</v>
      </c>
      <c r="I12" s="18" t="s">
        <v>128</v>
      </c>
    </row>
    <row r="13" customFormat="false" ht="78" hidden="false" customHeight="true" outlineLevel="0" collapsed="false">
      <c r="A13" s="18" t="s">
        <v>20</v>
      </c>
      <c r="B13" s="19" t="s">
        <v>129</v>
      </c>
      <c r="C13" s="18" t="s">
        <v>122</v>
      </c>
      <c r="D13" s="18" t="s">
        <v>130</v>
      </c>
      <c r="E13" s="18" t="s">
        <v>131</v>
      </c>
      <c r="F13" s="18" t="s">
        <v>132</v>
      </c>
      <c r="G13" s="18" t="s">
        <v>133</v>
      </c>
      <c r="H13" s="18" t="s">
        <v>134</v>
      </c>
      <c r="I13" s="18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58"/>
  </cols>
  <sheetData>
    <row r="1" customFormat="false" ht="16.15" hidden="false" customHeight="false" outlineLevel="0" collapsed="false">
      <c r="A1" s="20" t="s">
        <v>136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14" t="s">
        <v>137</v>
      </c>
    </row>
    <row r="4" customFormat="false" ht="15" hidden="false" customHeight="false" outlineLevel="0" collapsed="false">
      <c r="A4" s="21" t="s">
        <v>138</v>
      </c>
      <c r="B4" s="21"/>
      <c r="C4" s="21"/>
      <c r="D4" s="21"/>
      <c r="E4" s="21"/>
      <c r="F4" s="21"/>
    </row>
    <row r="5" customFormat="false" ht="15" hidden="false" customHeight="false" outlineLevel="0" collapsed="false">
      <c r="A5" s="11" t="s">
        <v>139</v>
      </c>
      <c r="B5" s="22"/>
      <c r="C5" s="22"/>
      <c r="D5" s="22"/>
      <c r="E5" s="22"/>
      <c r="F5" s="22"/>
    </row>
    <row r="6" customFormat="false" ht="15" hidden="false" customHeight="false" outlineLevel="0" collapsed="false">
      <c r="A6" s="11" t="s">
        <v>140</v>
      </c>
      <c r="B6" s="22"/>
      <c r="C6" s="22"/>
      <c r="D6" s="22"/>
      <c r="E6" s="22"/>
      <c r="F6" s="22"/>
    </row>
    <row r="7" customFormat="false" ht="15" hidden="false" customHeight="false" outlineLevel="0" collapsed="false">
      <c r="A7" s="11" t="s">
        <v>141</v>
      </c>
      <c r="B7" s="22"/>
      <c r="C7" s="22"/>
      <c r="D7" s="22"/>
      <c r="E7" s="22"/>
      <c r="F7" s="22"/>
    </row>
    <row r="8" customFormat="false" ht="15" hidden="false" customHeight="false" outlineLevel="0" collapsed="false">
      <c r="A8" s="11" t="s">
        <v>142</v>
      </c>
      <c r="B8" s="22"/>
      <c r="C8" s="22"/>
      <c r="D8" s="22"/>
      <c r="E8" s="22"/>
      <c r="F8" s="22"/>
    </row>
    <row r="9" customFormat="false" ht="15" hidden="false" customHeight="false" outlineLevel="0" collapsed="false">
      <c r="A9" s="11" t="s">
        <v>143</v>
      </c>
      <c r="B9" s="22"/>
      <c r="C9" s="22"/>
      <c r="D9" s="22"/>
      <c r="E9" s="22"/>
      <c r="F9" s="22"/>
    </row>
    <row r="11" customFormat="false" ht="15" hidden="false" customHeight="false" outlineLevel="0" collapsed="false">
      <c r="A11" s="21" t="s">
        <v>144</v>
      </c>
      <c r="B11" s="21"/>
      <c r="C11" s="21"/>
      <c r="D11" s="21"/>
      <c r="E11" s="21"/>
      <c r="F11" s="21"/>
    </row>
    <row r="12" customFormat="false" ht="15" hidden="false" customHeight="false" outlineLevel="0" collapsed="false">
      <c r="A12" s="11" t="s">
        <v>145</v>
      </c>
      <c r="B12" s="11" t="s">
        <v>146</v>
      </c>
      <c r="D12" s="11" t="s">
        <v>147</v>
      </c>
      <c r="F12" s="11" t="s">
        <v>148</v>
      </c>
    </row>
    <row r="13" customFormat="false" ht="27.75" hidden="false" customHeight="true" outlineLevel="0" collapsed="false">
      <c r="A13" s="11" t="s">
        <v>149</v>
      </c>
      <c r="B13" s="23" t="s">
        <v>150</v>
      </c>
      <c r="C13" s="23"/>
      <c r="D13" s="24"/>
      <c r="E13" s="25"/>
      <c r="F13" s="25"/>
    </row>
    <row r="14" customFormat="false" ht="27.75" hidden="false" customHeight="true" outlineLevel="0" collapsed="false">
      <c r="A14" s="11" t="s">
        <v>151</v>
      </c>
      <c r="B14" s="23" t="s">
        <v>152</v>
      </c>
      <c r="C14" s="23"/>
      <c r="D14" s="24"/>
      <c r="E14" s="25"/>
      <c r="F14" s="25"/>
    </row>
    <row r="15" customFormat="false" ht="27.75" hidden="false" customHeight="true" outlineLevel="0" collapsed="false">
      <c r="A15" s="11" t="s">
        <v>153</v>
      </c>
      <c r="B15" s="23" t="s">
        <v>154</v>
      </c>
      <c r="C15" s="23"/>
      <c r="D15" s="24"/>
      <c r="E15" s="25"/>
      <c r="F15" s="25"/>
    </row>
    <row r="16" customFormat="false" ht="27.75" hidden="false" customHeight="true" outlineLevel="0" collapsed="false">
      <c r="A16" s="11" t="s">
        <v>155</v>
      </c>
      <c r="B16" s="23" t="s">
        <v>156</v>
      </c>
      <c r="C16" s="23"/>
      <c r="D16" s="24"/>
      <c r="E16" s="25"/>
      <c r="F16" s="25"/>
    </row>
    <row r="18" customFormat="false" ht="15" hidden="false" customHeight="false" outlineLevel="0" collapsed="false">
      <c r="A18" s="21" t="s">
        <v>157</v>
      </c>
      <c r="B18" s="21"/>
      <c r="C18" s="21"/>
      <c r="D18" s="21"/>
      <c r="E18" s="21"/>
      <c r="F18" s="21"/>
    </row>
    <row r="19" customFormat="false" ht="15" hidden="false" customHeight="false" outlineLevel="0" collapsed="false">
      <c r="A19" s="15" t="s">
        <v>16</v>
      </c>
      <c r="B19" s="15" t="s">
        <v>33</v>
      </c>
      <c r="C19" s="15" t="s">
        <v>35</v>
      </c>
      <c r="D19" s="15" t="s">
        <v>158</v>
      </c>
      <c r="E19" s="15" t="s">
        <v>23</v>
      </c>
      <c r="F19" s="15" t="s">
        <v>159</v>
      </c>
    </row>
    <row r="20" customFormat="false" ht="54" hidden="false" customHeight="true" outlineLevel="0" collapsed="false">
      <c r="A20" s="16" t="s">
        <v>18</v>
      </c>
      <c r="B20" s="17" t="s">
        <v>41</v>
      </c>
      <c r="C20" s="16" t="s">
        <v>43</v>
      </c>
      <c r="D20" s="26"/>
      <c r="E20" s="27" t="str">
        <f aca="false">IF(D20="","",IF(D20="NA","No aplica",INDEX({"Deficiente","Insuficiente","Aceptable","Bueno","Excelente"},D20)))</f>
        <v/>
      </c>
      <c r="F20" s="28"/>
    </row>
    <row r="21" customFormat="false" ht="54" hidden="false" customHeight="true" outlineLevel="0" collapsed="false">
      <c r="A21" s="16" t="s">
        <v>18</v>
      </c>
      <c r="B21" s="17" t="s">
        <v>49</v>
      </c>
      <c r="C21" s="16" t="s">
        <v>51</v>
      </c>
      <c r="D21" s="26"/>
      <c r="E21" s="27" t="str">
        <f aca="false">IF(D21="","",IF(D21="NA","No aplica",INDEX({"Deficiente","Insuficiente","Aceptable","Bueno","Excelente"},D21)))</f>
        <v/>
      </c>
      <c r="F21" s="28"/>
    </row>
    <row r="22" customFormat="false" ht="54" hidden="false" customHeight="true" outlineLevel="0" collapsed="false">
      <c r="A22" s="16" t="s">
        <v>18</v>
      </c>
      <c r="B22" s="17" t="s">
        <v>57</v>
      </c>
      <c r="C22" s="16" t="s">
        <v>59</v>
      </c>
      <c r="D22" s="26"/>
      <c r="E22" s="27" t="str">
        <f aca="false">IF(D22="","",IF(D22="NA","No aplica",INDEX({"Deficiente","Insuficiente","Aceptable","Bueno","Excelente"},D22)))</f>
        <v/>
      </c>
      <c r="F22" s="28"/>
    </row>
    <row r="23" customFormat="false" ht="54" hidden="false" customHeight="true" outlineLevel="0" collapsed="false">
      <c r="A23" s="16" t="s">
        <v>18</v>
      </c>
      <c r="B23" s="17" t="s">
        <v>65</v>
      </c>
      <c r="C23" s="16" t="s">
        <v>67</v>
      </c>
      <c r="D23" s="26"/>
      <c r="E23" s="27" t="str">
        <f aca="false">IF(D23="","",IF(D23="NA","No aplica",INDEX({"Deficiente","Insuficiente","Aceptable","Bueno","Excelente"},D23)))</f>
        <v/>
      </c>
      <c r="F23" s="28"/>
    </row>
    <row r="24" customFormat="false" ht="54" hidden="false" customHeight="true" outlineLevel="0" collapsed="false">
      <c r="A24" s="16" t="s">
        <v>19</v>
      </c>
      <c r="B24" s="17" t="s">
        <v>73</v>
      </c>
      <c r="C24" s="16" t="s">
        <v>75</v>
      </c>
      <c r="D24" s="26"/>
      <c r="E24" s="27" t="str">
        <f aca="false">IF(D24="","",IF(D24="NA","No aplica",INDEX({"Deficiente","Insuficiente","Aceptable","Bueno","Excelente"},D24)))</f>
        <v/>
      </c>
      <c r="F24" s="28"/>
    </row>
    <row r="25" customFormat="false" ht="54" hidden="false" customHeight="true" outlineLevel="0" collapsed="false">
      <c r="A25" s="16" t="s">
        <v>19</v>
      </c>
      <c r="B25" s="17" t="s">
        <v>81</v>
      </c>
      <c r="C25" s="16" t="s">
        <v>83</v>
      </c>
      <c r="D25" s="26"/>
      <c r="E25" s="27" t="str">
        <f aca="false">IF(D25="","",IF(D25="NA","No aplica",INDEX({"Deficiente","Insuficiente","Aceptable","Bueno","Excelente"},D25)))</f>
        <v/>
      </c>
      <c r="F25" s="28"/>
    </row>
    <row r="26" customFormat="false" ht="54" hidden="false" customHeight="true" outlineLevel="0" collapsed="false">
      <c r="A26" s="16" t="s">
        <v>19</v>
      </c>
      <c r="B26" s="17" t="s">
        <v>89</v>
      </c>
      <c r="C26" s="16" t="s">
        <v>91</v>
      </c>
      <c r="D26" s="26"/>
      <c r="E26" s="27" t="str">
        <f aca="false">IF(D26="","",IF(D26="NA","No aplica",INDEX({"Deficiente","Insuficiente","Aceptable","Bueno","Excelente"},D26)))</f>
        <v/>
      </c>
      <c r="F26" s="28"/>
    </row>
    <row r="27" customFormat="false" ht="54" hidden="false" customHeight="true" outlineLevel="0" collapsed="false">
      <c r="A27" s="16" t="s">
        <v>19</v>
      </c>
      <c r="B27" s="17" t="s">
        <v>97</v>
      </c>
      <c r="C27" s="16" t="s">
        <v>99</v>
      </c>
      <c r="D27" s="26"/>
      <c r="E27" s="27" t="str">
        <f aca="false">IF(D27="","",IF(D27="NA","No aplica",INDEX({"Deficiente","Insuficiente","Aceptable","Bueno","Excelente"},D27)))</f>
        <v/>
      </c>
      <c r="F27" s="28"/>
    </row>
    <row r="28" customFormat="false" ht="54" hidden="false" customHeight="true" outlineLevel="0" collapsed="false">
      <c r="A28" s="16" t="s">
        <v>20</v>
      </c>
      <c r="B28" s="17" t="s">
        <v>105</v>
      </c>
      <c r="C28" s="16" t="s">
        <v>107</v>
      </c>
      <c r="D28" s="26"/>
      <c r="E28" s="27" t="str">
        <f aca="false">IF(D28="","",IF(D28="NA","No aplica",INDEX({"Deficiente","Insuficiente","Aceptable","Bueno","Excelente"},D28)))</f>
        <v/>
      </c>
      <c r="F28" s="28"/>
    </row>
    <row r="29" customFormat="false" ht="54" hidden="false" customHeight="true" outlineLevel="0" collapsed="false">
      <c r="A29" s="16" t="s">
        <v>20</v>
      </c>
      <c r="B29" s="17" t="s">
        <v>113</v>
      </c>
      <c r="C29" s="16" t="s">
        <v>115</v>
      </c>
      <c r="D29" s="26"/>
      <c r="E29" s="27" t="str">
        <f aca="false">IF(D29="","",IF(D29="NA","No aplica",INDEX({"Deficiente","Insuficiente","Aceptable","Bueno","Excelente"},D29)))</f>
        <v/>
      </c>
      <c r="F29" s="28"/>
    </row>
    <row r="30" customFormat="false" ht="54" hidden="false" customHeight="true" outlineLevel="0" collapsed="false">
      <c r="A30" s="16" t="s">
        <v>20</v>
      </c>
      <c r="B30" s="17" t="s">
        <v>121</v>
      </c>
      <c r="C30" s="16" t="s">
        <v>123</v>
      </c>
      <c r="D30" s="26"/>
      <c r="E30" s="27" t="str">
        <f aca="false">IF(D30="","",IF(D30="NA","No aplica",INDEX({"Deficiente","Insuficiente","Aceptable","Bueno","Excelente"},D30)))</f>
        <v/>
      </c>
      <c r="F30" s="28"/>
    </row>
    <row r="31" customFormat="false" ht="54" hidden="false" customHeight="true" outlineLevel="0" collapsed="false">
      <c r="A31" s="16" t="s">
        <v>20</v>
      </c>
      <c r="B31" s="17" t="s">
        <v>129</v>
      </c>
      <c r="C31" s="16" t="s">
        <v>130</v>
      </c>
      <c r="D31" s="26"/>
      <c r="E31" s="27" t="str">
        <f aca="false">IF(D31="","",IF(D31="NA","No aplica",INDEX({"Deficiente","Insuficiente","Aceptable","Bueno","Excelente"},D31)))</f>
        <v/>
      </c>
      <c r="F31" s="28"/>
    </row>
    <row r="33" customFormat="false" ht="15" hidden="false" customHeight="false" outlineLevel="0" collapsed="false">
      <c r="A33" s="21" t="s">
        <v>160</v>
      </c>
      <c r="B33" s="21"/>
      <c r="C33" s="21"/>
      <c r="D33" s="21"/>
      <c r="E33" s="21"/>
      <c r="F33" s="21"/>
    </row>
    <row r="34" customFormat="false" ht="15" hidden="false" customHeight="false" outlineLevel="0" collapsed="false">
      <c r="A34" s="11" t="s">
        <v>18</v>
      </c>
      <c r="B34" s="29" t="n">
        <f aca="false">Parametros!B4</f>
        <v>0.4</v>
      </c>
      <c r="C34" s="30" t="str">
        <f aca="false">IFERROR(AVERAGEIF($A$20:$A$31,A34,$D$20:$D$31),"")</f>
        <v/>
      </c>
      <c r="D34" s="31" t="s">
        <v>161</v>
      </c>
    </row>
    <row r="35" customFormat="false" ht="15" hidden="false" customHeight="false" outlineLevel="0" collapsed="false">
      <c r="A35" s="11" t="s">
        <v>19</v>
      </c>
      <c r="B35" s="29" t="n">
        <f aca="false">Parametros!B5</f>
        <v>0.25</v>
      </c>
      <c r="C35" s="30" t="str">
        <f aca="false">IFERROR(AVERAGEIF($A$20:$A$31,A35,$D$20:$D$31),"")</f>
        <v/>
      </c>
    </row>
    <row r="36" customFormat="false" ht="15" hidden="false" customHeight="false" outlineLevel="0" collapsed="false">
      <c r="A36" s="11" t="s">
        <v>20</v>
      </c>
      <c r="B36" s="29" t="n">
        <f aca="false">Parametros!B6</f>
        <v>0.35</v>
      </c>
      <c r="C36" s="30" t="str">
        <f aca="false">IFERROR(AVERAGEIF($A$20:$A$31,A36,$D$20:$D$31),"")</f>
        <v/>
      </c>
    </row>
    <row r="37" customFormat="false" ht="15" hidden="false" customHeight="false" outlineLevel="0" collapsed="false">
      <c r="A37" s="32" t="s">
        <v>162</v>
      </c>
      <c r="C37" s="33" t="str">
        <f aca="false">IF(COUNT(D20:D31)=0,"",IFERROR(SUMPRODUCT(B34:B36,C34:C36)/SUM(B34:B36),""))</f>
        <v/>
      </c>
    </row>
    <row r="38" customFormat="false" ht="15" hidden="false" customHeight="false" outlineLevel="0" collapsed="false">
      <c r="A38" s="11" t="s">
        <v>163</v>
      </c>
      <c r="C38" s="34" t="str">
        <f aca="false">IFERROR(C37/5,"")</f>
        <v/>
      </c>
    </row>
    <row r="39" customFormat="false" ht="15" hidden="false" customHeight="false" outlineLevel="0" collapsed="false">
      <c r="A39" s="11" t="s">
        <v>23</v>
      </c>
      <c r="C39" s="35" t="str">
        <f aca="false">IF(C37="","",IF(C37&gt;=Parametros!$A$10,Parametros!$B$10,IF(C37&gt;=Parametros!$A$11,Parametros!$B$11,Parametros!$B$12)))</f>
        <v/>
      </c>
    </row>
    <row r="40" customFormat="false" ht="15" hidden="false" customHeight="false" outlineLevel="0" collapsed="false">
      <c r="A40" s="11" t="s">
        <v>164</v>
      </c>
      <c r="C40" s="36" t="str">
        <f aca="false">IF(C37="","",IF(OR(AND(ISNUMBER(D30),D30&lt;=2),AND(ISNUMBER(D31),D31&lt;=2)),"Se activa (C11 o C12 ≤ 2)","No se activa"))</f>
        <v/>
      </c>
    </row>
    <row r="41" customFormat="false" ht="15" hidden="false" customHeight="false" outlineLevel="0" collapsed="false">
      <c r="A41" s="32" t="s">
        <v>24</v>
      </c>
      <c r="C41" s="37" t="str">
        <f aca="false">IF(C37="","",IF(C37&gt;=Parametros!$A$10,IF(LEFT(C40,3)="Se ","Recomendado con condiciones de uso",Parametros!$C$10),IF(C37&gt;=Parametros!$A$11,Parametros!$C$11,Parametros!$C$12)))</f>
        <v/>
      </c>
    </row>
    <row r="43" customFormat="false" ht="15" hidden="false" customHeight="false" outlineLevel="0" collapsed="false">
      <c r="A43" s="21" t="s">
        <v>165</v>
      </c>
      <c r="B43" s="21"/>
      <c r="C43" s="21"/>
      <c r="D43" s="21"/>
      <c r="E43" s="21"/>
      <c r="F43" s="21"/>
    </row>
    <row r="44" customFormat="false" ht="30" hidden="false" customHeight="true" outlineLevel="0" collapsed="false">
      <c r="A44" s="38" t="s">
        <v>166</v>
      </c>
      <c r="B44" s="38"/>
      <c r="C44" s="38"/>
      <c r="D44" s="38"/>
      <c r="E44" s="38"/>
      <c r="F44" s="38"/>
    </row>
    <row r="45" customFormat="false" ht="30" hidden="false" customHeight="true" outlineLevel="0" collapsed="false">
      <c r="A45" s="38" t="s">
        <v>167</v>
      </c>
      <c r="B45" s="38"/>
      <c r="C45" s="38"/>
      <c r="D45" s="38"/>
      <c r="E45" s="38"/>
      <c r="F45" s="38"/>
    </row>
    <row r="46" customFormat="false" ht="30" hidden="false" customHeight="true" outlineLevel="0" collapsed="false">
      <c r="A46" s="38" t="s">
        <v>168</v>
      </c>
      <c r="B46" s="38"/>
      <c r="C46" s="38"/>
      <c r="D46" s="38"/>
      <c r="E46" s="38"/>
      <c r="F46" s="38"/>
    </row>
    <row r="48" customFormat="false" ht="15" hidden="false" customHeight="false" outlineLevel="0" collapsed="false">
      <c r="A48" s="31"/>
    </row>
  </sheetData>
  <mergeCells count="22">
    <mergeCell ref="A1:F1"/>
    <mergeCell ref="A4:F4"/>
    <mergeCell ref="B5:F5"/>
    <mergeCell ref="B6:F6"/>
    <mergeCell ref="B7:F7"/>
    <mergeCell ref="B8:F8"/>
    <mergeCell ref="B9:F9"/>
    <mergeCell ref="A11:F11"/>
    <mergeCell ref="B13:C13"/>
    <mergeCell ref="E13:F13"/>
    <mergeCell ref="B14:C14"/>
    <mergeCell ref="E14:F14"/>
    <mergeCell ref="B15:C15"/>
    <mergeCell ref="E15:F15"/>
    <mergeCell ref="B16:C16"/>
    <mergeCell ref="E16:F16"/>
    <mergeCell ref="A18:F18"/>
    <mergeCell ref="A33:F33"/>
    <mergeCell ref="A43:F43"/>
    <mergeCell ref="A44:F44"/>
    <mergeCell ref="A45:F45"/>
    <mergeCell ref="A46:F46"/>
  </mergeCells>
  <dataValidations count="2">
    <dataValidation allowBlank="true" errorStyle="stop" operator="between" showDropDown="false" showErrorMessage="false" showInputMessage="false" sqref="D13:D16" type="list">
      <formula1>"Sí,Parcial,No"</formula1>
      <formula2>0</formula2>
    </dataValidation>
    <dataValidation allowBlank="true" errorStyle="stop" operator="between" showDropDown="false" showErrorMessage="false" showInputMessage="false" sqref="D20:D31" type="list">
      <formula1>"1,2,3,4,5,NA"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58"/>
  </cols>
  <sheetData>
    <row r="1" customFormat="false" ht="16.15" hidden="false" customHeight="false" outlineLevel="0" collapsed="false">
      <c r="A1" s="20" t="s">
        <v>136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14" t="s">
        <v>137</v>
      </c>
    </row>
    <row r="4" customFormat="false" ht="15" hidden="false" customHeight="false" outlineLevel="0" collapsed="false">
      <c r="A4" s="21" t="s">
        <v>138</v>
      </c>
      <c r="B4" s="21"/>
      <c r="C4" s="21"/>
      <c r="D4" s="21"/>
      <c r="E4" s="21"/>
      <c r="F4" s="21"/>
    </row>
    <row r="5" customFormat="false" ht="15" hidden="false" customHeight="false" outlineLevel="0" collapsed="false">
      <c r="A5" s="11" t="s">
        <v>139</v>
      </c>
      <c r="B5" s="22" t="s">
        <v>169</v>
      </c>
      <c r="C5" s="22"/>
      <c r="D5" s="22"/>
      <c r="E5" s="22"/>
      <c r="F5" s="22"/>
    </row>
    <row r="6" customFormat="false" ht="15" hidden="false" customHeight="false" outlineLevel="0" collapsed="false">
      <c r="A6" s="11" t="s">
        <v>140</v>
      </c>
      <c r="B6" s="22" t="s">
        <v>170</v>
      </c>
      <c r="C6" s="22"/>
      <c r="D6" s="22"/>
      <c r="E6" s="22"/>
      <c r="F6" s="22"/>
    </row>
    <row r="7" customFormat="false" ht="15" hidden="false" customHeight="false" outlineLevel="0" collapsed="false">
      <c r="A7" s="11" t="s">
        <v>141</v>
      </c>
      <c r="B7" s="22" t="s">
        <v>171</v>
      </c>
      <c r="C7" s="22"/>
      <c r="D7" s="22"/>
      <c r="E7" s="22"/>
      <c r="F7" s="22"/>
    </row>
    <row r="8" customFormat="false" ht="15" hidden="false" customHeight="false" outlineLevel="0" collapsed="false">
      <c r="A8" s="11" t="s">
        <v>142</v>
      </c>
      <c r="B8" s="22" t="s">
        <v>172</v>
      </c>
      <c r="C8" s="22"/>
      <c r="D8" s="22"/>
      <c r="E8" s="22"/>
      <c r="F8" s="22"/>
    </row>
    <row r="9" customFormat="false" ht="15" hidden="false" customHeight="false" outlineLevel="0" collapsed="false">
      <c r="A9" s="11" t="s">
        <v>143</v>
      </c>
      <c r="B9" s="22" t="s">
        <v>173</v>
      </c>
      <c r="C9" s="22"/>
      <c r="D9" s="22"/>
      <c r="E9" s="22"/>
      <c r="F9" s="22"/>
    </row>
    <row r="11" customFormat="false" ht="15" hidden="false" customHeight="false" outlineLevel="0" collapsed="false">
      <c r="A11" s="21" t="s">
        <v>144</v>
      </c>
      <c r="B11" s="21"/>
      <c r="C11" s="21"/>
      <c r="D11" s="21"/>
      <c r="E11" s="21"/>
      <c r="F11" s="21"/>
    </row>
    <row r="12" customFormat="false" ht="15" hidden="false" customHeight="false" outlineLevel="0" collapsed="false">
      <c r="A12" s="11" t="s">
        <v>145</v>
      </c>
      <c r="B12" s="11" t="s">
        <v>146</v>
      </c>
      <c r="D12" s="11" t="s">
        <v>147</v>
      </c>
      <c r="F12" s="11" t="s">
        <v>148</v>
      </c>
    </row>
    <row r="13" customFormat="false" ht="27.75" hidden="false" customHeight="true" outlineLevel="0" collapsed="false">
      <c r="A13" s="11" t="s">
        <v>149</v>
      </c>
      <c r="B13" s="23" t="s">
        <v>150</v>
      </c>
      <c r="C13" s="23"/>
      <c r="D13" s="24" t="s">
        <v>174</v>
      </c>
      <c r="E13" s="25" t="s">
        <v>175</v>
      </c>
      <c r="F13" s="25"/>
    </row>
    <row r="14" customFormat="false" ht="27.75" hidden="false" customHeight="true" outlineLevel="0" collapsed="false">
      <c r="A14" s="11" t="s">
        <v>151</v>
      </c>
      <c r="B14" s="23" t="s">
        <v>152</v>
      </c>
      <c r="C14" s="23"/>
      <c r="D14" s="24" t="s">
        <v>176</v>
      </c>
      <c r="E14" s="25" t="s">
        <v>177</v>
      </c>
      <c r="F14" s="25"/>
    </row>
    <row r="15" customFormat="false" ht="27.75" hidden="false" customHeight="true" outlineLevel="0" collapsed="false">
      <c r="A15" s="11" t="s">
        <v>153</v>
      </c>
      <c r="B15" s="23" t="s">
        <v>154</v>
      </c>
      <c r="C15" s="23"/>
      <c r="D15" s="24" t="s">
        <v>176</v>
      </c>
      <c r="E15" s="25" t="s">
        <v>178</v>
      </c>
      <c r="F15" s="25"/>
    </row>
    <row r="16" customFormat="false" ht="27.75" hidden="false" customHeight="true" outlineLevel="0" collapsed="false">
      <c r="A16" s="11" t="s">
        <v>155</v>
      </c>
      <c r="B16" s="23" t="s">
        <v>156</v>
      </c>
      <c r="C16" s="23"/>
      <c r="D16" s="24" t="s">
        <v>174</v>
      </c>
      <c r="E16" s="25" t="s">
        <v>179</v>
      </c>
      <c r="F16" s="25"/>
    </row>
    <row r="18" customFormat="false" ht="15" hidden="false" customHeight="false" outlineLevel="0" collapsed="false">
      <c r="A18" s="21" t="s">
        <v>157</v>
      </c>
      <c r="B18" s="21"/>
      <c r="C18" s="21"/>
      <c r="D18" s="21"/>
      <c r="E18" s="21"/>
      <c r="F18" s="21"/>
    </row>
    <row r="19" customFormat="false" ht="15" hidden="false" customHeight="false" outlineLevel="0" collapsed="false">
      <c r="A19" s="15" t="s">
        <v>16</v>
      </c>
      <c r="B19" s="15" t="s">
        <v>33</v>
      </c>
      <c r="C19" s="15" t="s">
        <v>35</v>
      </c>
      <c r="D19" s="15" t="s">
        <v>158</v>
      </c>
      <c r="E19" s="15" t="s">
        <v>23</v>
      </c>
      <c r="F19" s="15" t="s">
        <v>159</v>
      </c>
    </row>
    <row r="20" customFormat="false" ht="54" hidden="false" customHeight="true" outlineLevel="0" collapsed="false">
      <c r="A20" s="16" t="s">
        <v>18</v>
      </c>
      <c r="B20" s="17" t="s">
        <v>41</v>
      </c>
      <c r="C20" s="16" t="s">
        <v>43</v>
      </c>
      <c r="D20" s="26" t="n">
        <v>4</v>
      </c>
      <c r="E20" s="27" t="str">
        <f aca="false">IF(D20="","",IF(D20="NA","No aplica",INDEX({"Deficiente","Insuficiente","Aceptable","Bueno","Excelente"},D20)))</f>
        <v>Bueno</v>
      </c>
      <c r="F20" s="28" t="s">
        <v>180</v>
      </c>
    </row>
    <row r="21" customFormat="false" ht="54" hidden="false" customHeight="true" outlineLevel="0" collapsed="false">
      <c r="A21" s="16" t="s">
        <v>18</v>
      </c>
      <c r="B21" s="17" t="s">
        <v>49</v>
      </c>
      <c r="C21" s="16" t="s">
        <v>51</v>
      </c>
      <c r="D21" s="26" t="n">
        <v>4</v>
      </c>
      <c r="E21" s="27" t="str">
        <f aca="false">IF(D21="","",IF(D21="NA","No aplica",INDEX({"Deficiente","Insuficiente","Aceptable","Bueno","Excelente"},D21)))</f>
        <v>Bueno</v>
      </c>
      <c r="F21" s="28" t="s">
        <v>181</v>
      </c>
    </row>
    <row r="22" customFormat="false" ht="54" hidden="false" customHeight="true" outlineLevel="0" collapsed="false">
      <c r="A22" s="16" t="s">
        <v>18</v>
      </c>
      <c r="B22" s="17" t="s">
        <v>57</v>
      </c>
      <c r="C22" s="16" t="s">
        <v>59</v>
      </c>
      <c r="D22" s="26" t="n">
        <v>3</v>
      </c>
      <c r="E22" s="27" t="str">
        <f aca="false">IF(D22="","",IF(D22="NA","No aplica",INDEX({"Deficiente","Insuficiente","Aceptable","Bueno","Excelente"},D22)))</f>
        <v>Aceptable</v>
      </c>
      <c r="F22" s="28" t="s">
        <v>182</v>
      </c>
    </row>
    <row r="23" customFormat="false" ht="54" hidden="false" customHeight="true" outlineLevel="0" collapsed="false">
      <c r="A23" s="16" t="s">
        <v>18</v>
      </c>
      <c r="B23" s="17" t="s">
        <v>65</v>
      </c>
      <c r="C23" s="16" t="s">
        <v>67</v>
      </c>
      <c r="D23" s="26" t="n">
        <v>2</v>
      </c>
      <c r="E23" s="27" t="str">
        <f aca="false">IF(D23="","",IF(D23="NA","No aplica",INDEX({"Deficiente","Insuficiente","Aceptable","Bueno","Excelente"},D23)))</f>
        <v>Insuficiente</v>
      </c>
      <c r="F23" s="28" t="s">
        <v>183</v>
      </c>
    </row>
    <row r="24" customFormat="false" ht="54" hidden="false" customHeight="true" outlineLevel="0" collapsed="false">
      <c r="A24" s="16" t="s">
        <v>19</v>
      </c>
      <c r="B24" s="17" t="s">
        <v>73</v>
      </c>
      <c r="C24" s="16" t="s">
        <v>75</v>
      </c>
      <c r="D24" s="26" t="n">
        <v>4</v>
      </c>
      <c r="E24" s="27" t="str">
        <f aca="false">IF(D24="","",IF(D24="NA","No aplica",INDEX({"Deficiente","Insuficiente","Aceptable","Bueno","Excelente"},D24)))</f>
        <v>Bueno</v>
      </c>
      <c r="F24" s="28" t="s">
        <v>184</v>
      </c>
    </row>
    <row r="25" customFormat="false" ht="54" hidden="false" customHeight="true" outlineLevel="0" collapsed="false">
      <c r="A25" s="16" t="s">
        <v>19</v>
      </c>
      <c r="B25" s="17" t="s">
        <v>81</v>
      </c>
      <c r="C25" s="16" t="s">
        <v>83</v>
      </c>
      <c r="D25" s="26" t="n">
        <v>4</v>
      </c>
      <c r="E25" s="27" t="str">
        <f aca="false">IF(D25="","",IF(D25="NA","No aplica",INDEX({"Deficiente","Insuficiente","Aceptable","Bueno","Excelente"},D25)))</f>
        <v>Bueno</v>
      </c>
      <c r="F25" s="28" t="s">
        <v>185</v>
      </c>
    </row>
    <row r="26" customFormat="false" ht="54" hidden="false" customHeight="true" outlineLevel="0" collapsed="false">
      <c r="A26" s="16" t="s">
        <v>19</v>
      </c>
      <c r="B26" s="17" t="s">
        <v>89</v>
      </c>
      <c r="C26" s="16" t="s">
        <v>91</v>
      </c>
      <c r="D26" s="26" t="n">
        <v>4</v>
      </c>
      <c r="E26" s="27" t="str">
        <f aca="false">IF(D26="","",IF(D26="NA","No aplica",INDEX({"Deficiente","Insuficiente","Aceptable","Bueno","Excelente"},D26)))</f>
        <v>Bueno</v>
      </c>
      <c r="F26" s="28" t="s">
        <v>186</v>
      </c>
    </row>
    <row r="27" customFormat="false" ht="54" hidden="false" customHeight="true" outlineLevel="0" collapsed="false">
      <c r="A27" s="16" t="s">
        <v>19</v>
      </c>
      <c r="B27" s="17" t="s">
        <v>97</v>
      </c>
      <c r="C27" s="16" t="s">
        <v>99</v>
      </c>
      <c r="D27" s="26" t="n">
        <v>4</v>
      </c>
      <c r="E27" s="27" t="str">
        <f aca="false">IF(D27="","",IF(D27="NA","No aplica",INDEX({"Deficiente","Insuficiente","Aceptable","Bueno","Excelente"},D27)))</f>
        <v>Bueno</v>
      </c>
      <c r="F27" s="28" t="s">
        <v>187</v>
      </c>
    </row>
    <row r="28" customFormat="false" ht="54" hidden="false" customHeight="true" outlineLevel="0" collapsed="false">
      <c r="A28" s="16" t="s">
        <v>20</v>
      </c>
      <c r="B28" s="17" t="s">
        <v>105</v>
      </c>
      <c r="C28" s="16" t="s">
        <v>107</v>
      </c>
      <c r="D28" s="26" t="n">
        <v>4</v>
      </c>
      <c r="E28" s="27" t="str">
        <f aca="false">IF(D28="","",IF(D28="NA","No aplica",INDEX({"Deficiente","Insuficiente","Aceptable","Bueno","Excelente"},D28)))</f>
        <v>Bueno</v>
      </c>
      <c r="F28" s="28" t="s">
        <v>188</v>
      </c>
    </row>
    <row r="29" customFormat="false" ht="54" hidden="false" customHeight="true" outlineLevel="0" collapsed="false">
      <c r="A29" s="16" t="s">
        <v>20</v>
      </c>
      <c r="B29" s="17" t="s">
        <v>113</v>
      </c>
      <c r="C29" s="16" t="s">
        <v>115</v>
      </c>
      <c r="D29" s="26" t="n">
        <v>3</v>
      </c>
      <c r="E29" s="27" t="str">
        <f aca="false">IF(D29="","",IF(D29="NA","No aplica",INDEX({"Deficiente","Insuficiente","Aceptable","Bueno","Excelente"},D29)))</f>
        <v>Aceptable</v>
      </c>
      <c r="F29" s="28" t="s">
        <v>189</v>
      </c>
    </row>
    <row r="30" customFormat="false" ht="54" hidden="false" customHeight="true" outlineLevel="0" collapsed="false">
      <c r="A30" s="16" t="s">
        <v>20</v>
      </c>
      <c r="B30" s="17" t="s">
        <v>121</v>
      </c>
      <c r="C30" s="16" t="s">
        <v>123</v>
      </c>
      <c r="D30" s="26" t="n">
        <v>3</v>
      </c>
      <c r="E30" s="27" t="str">
        <f aca="false">IF(D30="","",IF(D30="NA","No aplica",INDEX({"Deficiente","Insuficiente","Aceptable","Bueno","Excelente"},D30)))</f>
        <v>Aceptable</v>
      </c>
      <c r="F30" s="28" t="s">
        <v>190</v>
      </c>
    </row>
    <row r="31" customFormat="false" ht="54" hidden="false" customHeight="true" outlineLevel="0" collapsed="false">
      <c r="A31" s="16" t="s">
        <v>20</v>
      </c>
      <c r="B31" s="17" t="s">
        <v>129</v>
      </c>
      <c r="C31" s="16" t="s">
        <v>130</v>
      </c>
      <c r="D31" s="26" t="n">
        <v>3</v>
      </c>
      <c r="E31" s="27" t="str">
        <f aca="false">IF(D31="","",IF(D31="NA","No aplica",INDEX({"Deficiente","Insuficiente","Aceptable","Bueno","Excelente"},D31)))</f>
        <v>Aceptable</v>
      </c>
      <c r="F31" s="28" t="s">
        <v>191</v>
      </c>
    </row>
    <row r="33" customFormat="false" ht="15" hidden="false" customHeight="false" outlineLevel="0" collapsed="false">
      <c r="A33" s="21" t="s">
        <v>160</v>
      </c>
      <c r="B33" s="21"/>
      <c r="C33" s="21"/>
      <c r="D33" s="21"/>
      <c r="E33" s="21"/>
      <c r="F33" s="21"/>
    </row>
    <row r="34" customFormat="false" ht="15" hidden="false" customHeight="false" outlineLevel="0" collapsed="false">
      <c r="A34" s="11" t="s">
        <v>18</v>
      </c>
      <c r="B34" s="29" t="n">
        <f aca="false">Parametros!B4</f>
        <v>0.4</v>
      </c>
      <c r="C34" s="30" t="n">
        <f aca="false">IFERROR(AVERAGEIF($A$20:$A$31,A34,$D$20:$D$31),"")</f>
        <v>3.25</v>
      </c>
      <c r="D34" s="31" t="s">
        <v>161</v>
      </c>
    </row>
    <row r="35" customFormat="false" ht="15" hidden="false" customHeight="false" outlineLevel="0" collapsed="false">
      <c r="A35" s="11" t="s">
        <v>19</v>
      </c>
      <c r="B35" s="29" t="n">
        <f aca="false">Parametros!B5</f>
        <v>0.25</v>
      </c>
      <c r="C35" s="30" t="n">
        <f aca="false">IFERROR(AVERAGEIF($A$20:$A$31,A35,$D$20:$D$31),"")</f>
        <v>4</v>
      </c>
    </row>
    <row r="36" customFormat="false" ht="15" hidden="false" customHeight="false" outlineLevel="0" collapsed="false">
      <c r="A36" s="11" t="s">
        <v>20</v>
      </c>
      <c r="B36" s="29" t="n">
        <f aca="false">Parametros!B6</f>
        <v>0.35</v>
      </c>
      <c r="C36" s="30" t="n">
        <f aca="false">IFERROR(AVERAGEIF($A$20:$A$31,A36,$D$20:$D$31),"")</f>
        <v>3.25</v>
      </c>
    </row>
    <row r="37" customFormat="false" ht="15" hidden="false" customHeight="false" outlineLevel="0" collapsed="false">
      <c r="A37" s="32" t="s">
        <v>162</v>
      </c>
      <c r="C37" s="33" t="n">
        <f aca="false">IF(COUNT(D20:D31)=0,"",IFERROR(SUMPRODUCT(B34:B36,C34:C36)/SUM(B34:B36),""))</f>
        <v>3.4375</v>
      </c>
    </row>
    <row r="38" customFormat="false" ht="15" hidden="false" customHeight="false" outlineLevel="0" collapsed="false">
      <c r="A38" s="11" t="s">
        <v>163</v>
      </c>
      <c r="C38" s="34" t="n">
        <f aca="false">IFERROR(C37/5,"")</f>
        <v>0.6875</v>
      </c>
    </row>
    <row r="39" customFormat="false" ht="15" hidden="false" customHeight="false" outlineLevel="0" collapsed="false">
      <c r="A39" s="11" t="s">
        <v>23</v>
      </c>
      <c r="C39" s="35" t="str">
        <f aca="false">IF(C37="","",IF(C37&gt;=Parametros!$A$10,Parametros!$B$10,IF(C37&gt;=Parametros!$A$11,Parametros!$B$11,Parametros!$B$12)))</f>
        <v>Medio</v>
      </c>
    </row>
    <row r="40" customFormat="false" ht="15" hidden="false" customHeight="false" outlineLevel="0" collapsed="false">
      <c r="A40" s="11" t="s">
        <v>164</v>
      </c>
      <c r="C40" s="36" t="str">
        <f aca="false">IF(C37="","",IF(OR(AND(ISNUMBER(D30),D30&lt;=2),AND(ISNUMBER(D31),D31&lt;=2)),"Se activa (C11 o C12 ≤ 2)","No se activa"))</f>
        <v>No se activa</v>
      </c>
    </row>
    <row r="41" customFormat="false" ht="15" hidden="false" customHeight="false" outlineLevel="0" collapsed="false">
      <c r="A41" s="32" t="s">
        <v>24</v>
      </c>
      <c r="C41" s="37" t="str">
        <f aca="false">IF(C37="","",IF(C37&gt;=Parametros!$A$10,IF(LEFT(C40,3)="Se ","Recomendado con condiciones de uso",Parametros!$C$10),IF(C37&gt;=Parametros!$A$11,Parametros!$C$11,Parametros!$C$12)))</f>
        <v>Recomendado con ajustes</v>
      </c>
    </row>
    <row r="43" customFormat="false" ht="15" hidden="false" customHeight="false" outlineLevel="0" collapsed="false">
      <c r="A43" s="21" t="s">
        <v>165</v>
      </c>
      <c r="B43" s="21"/>
      <c r="C43" s="21"/>
      <c r="D43" s="21"/>
      <c r="E43" s="21"/>
      <c r="F43" s="21"/>
    </row>
    <row r="44" customFormat="false" ht="30" hidden="false" customHeight="true" outlineLevel="0" collapsed="false">
      <c r="A44" s="38" t="s">
        <v>192</v>
      </c>
      <c r="B44" s="38"/>
      <c r="C44" s="38"/>
      <c r="D44" s="38"/>
      <c r="E44" s="38"/>
      <c r="F44" s="38"/>
    </row>
    <row r="45" customFormat="false" ht="30" hidden="false" customHeight="true" outlineLevel="0" collapsed="false">
      <c r="A45" s="38" t="s">
        <v>193</v>
      </c>
      <c r="B45" s="38"/>
      <c r="C45" s="38"/>
      <c r="D45" s="38"/>
      <c r="E45" s="38"/>
      <c r="F45" s="38"/>
    </row>
    <row r="46" customFormat="false" ht="30" hidden="false" customHeight="true" outlineLevel="0" collapsed="false">
      <c r="A46" s="38" t="s">
        <v>194</v>
      </c>
      <c r="B46" s="38"/>
      <c r="C46" s="38"/>
      <c r="D46" s="38"/>
      <c r="E46" s="38"/>
      <c r="F46" s="38"/>
    </row>
    <row r="48" customFormat="false" ht="15" hidden="false" customHeight="false" outlineLevel="0" collapsed="false">
      <c r="A48" s="31"/>
    </row>
  </sheetData>
  <mergeCells count="22">
    <mergeCell ref="A1:F1"/>
    <mergeCell ref="A4:F4"/>
    <mergeCell ref="B5:F5"/>
    <mergeCell ref="B6:F6"/>
    <mergeCell ref="B7:F7"/>
    <mergeCell ref="B8:F8"/>
    <mergeCell ref="B9:F9"/>
    <mergeCell ref="A11:F11"/>
    <mergeCell ref="B13:C13"/>
    <mergeCell ref="E13:F13"/>
    <mergeCell ref="B14:C14"/>
    <mergeCell ref="E14:F14"/>
    <mergeCell ref="B15:C15"/>
    <mergeCell ref="E15:F15"/>
    <mergeCell ref="B16:C16"/>
    <mergeCell ref="E16:F16"/>
    <mergeCell ref="A18:F18"/>
    <mergeCell ref="A33:F33"/>
    <mergeCell ref="A43:F43"/>
    <mergeCell ref="A44:F44"/>
    <mergeCell ref="A45:F45"/>
    <mergeCell ref="A46:F46"/>
  </mergeCells>
  <dataValidations count="2">
    <dataValidation allowBlank="true" errorStyle="stop" operator="between" showDropDown="false" showErrorMessage="false" showInputMessage="false" sqref="D13:D16" type="list">
      <formula1>"Sí,Parcial,No"</formula1>
      <formula2>0</formula2>
    </dataValidation>
    <dataValidation allowBlank="true" errorStyle="stop" operator="between" showDropDown="false" showErrorMessage="false" showInputMessage="false" sqref="D20:D31" type="list">
      <formula1>"1,2,3,4,5,NA"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58"/>
  </cols>
  <sheetData>
    <row r="1" customFormat="false" ht="16.15" hidden="false" customHeight="false" outlineLevel="0" collapsed="false">
      <c r="A1" s="20" t="s">
        <v>136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14" t="s">
        <v>137</v>
      </c>
    </row>
    <row r="4" customFormat="false" ht="15" hidden="false" customHeight="false" outlineLevel="0" collapsed="false">
      <c r="A4" s="21" t="s">
        <v>138</v>
      </c>
      <c r="B4" s="21"/>
      <c r="C4" s="21"/>
      <c r="D4" s="21"/>
      <c r="E4" s="21"/>
      <c r="F4" s="21"/>
    </row>
    <row r="5" customFormat="false" ht="15" hidden="false" customHeight="false" outlineLevel="0" collapsed="false">
      <c r="A5" s="11" t="s">
        <v>139</v>
      </c>
      <c r="B5" s="22" t="s">
        <v>195</v>
      </c>
      <c r="C5" s="22"/>
      <c r="D5" s="22"/>
      <c r="E5" s="22"/>
      <c r="F5" s="22"/>
    </row>
    <row r="6" customFormat="false" ht="15" hidden="false" customHeight="false" outlineLevel="0" collapsed="false">
      <c r="A6" s="11" t="s">
        <v>140</v>
      </c>
      <c r="B6" s="22" t="s">
        <v>196</v>
      </c>
      <c r="C6" s="22"/>
      <c r="D6" s="22"/>
      <c r="E6" s="22"/>
      <c r="F6" s="22"/>
    </row>
    <row r="7" customFormat="false" ht="15" hidden="false" customHeight="false" outlineLevel="0" collapsed="false">
      <c r="A7" s="11" t="s">
        <v>141</v>
      </c>
      <c r="B7" s="22" t="s">
        <v>197</v>
      </c>
      <c r="C7" s="22"/>
      <c r="D7" s="22"/>
      <c r="E7" s="22"/>
      <c r="F7" s="22"/>
    </row>
    <row r="8" customFormat="false" ht="15" hidden="false" customHeight="false" outlineLevel="0" collapsed="false">
      <c r="A8" s="11" t="s">
        <v>142</v>
      </c>
      <c r="B8" s="22" t="s">
        <v>172</v>
      </c>
      <c r="C8" s="22"/>
      <c r="D8" s="22"/>
      <c r="E8" s="22"/>
      <c r="F8" s="22"/>
    </row>
    <row r="9" customFormat="false" ht="15" hidden="false" customHeight="false" outlineLevel="0" collapsed="false">
      <c r="A9" s="11" t="s">
        <v>143</v>
      </c>
      <c r="B9" s="22" t="s">
        <v>173</v>
      </c>
      <c r="C9" s="22"/>
      <c r="D9" s="22"/>
      <c r="E9" s="22"/>
      <c r="F9" s="22"/>
    </row>
    <row r="11" customFormat="false" ht="15" hidden="false" customHeight="false" outlineLevel="0" collapsed="false">
      <c r="A11" s="21" t="s">
        <v>144</v>
      </c>
      <c r="B11" s="21"/>
      <c r="C11" s="21"/>
      <c r="D11" s="21"/>
      <c r="E11" s="21"/>
      <c r="F11" s="21"/>
    </row>
    <row r="12" customFormat="false" ht="15" hidden="false" customHeight="false" outlineLevel="0" collapsed="false">
      <c r="A12" s="11" t="s">
        <v>145</v>
      </c>
      <c r="B12" s="11" t="s">
        <v>146</v>
      </c>
      <c r="D12" s="11" t="s">
        <v>147</v>
      </c>
      <c r="F12" s="11" t="s">
        <v>148</v>
      </c>
    </row>
    <row r="13" customFormat="false" ht="27.75" hidden="false" customHeight="true" outlineLevel="0" collapsed="false">
      <c r="A13" s="11" t="s">
        <v>149</v>
      </c>
      <c r="B13" s="23" t="s">
        <v>150</v>
      </c>
      <c r="C13" s="23"/>
      <c r="D13" s="24" t="s">
        <v>174</v>
      </c>
      <c r="E13" s="25" t="s">
        <v>198</v>
      </c>
      <c r="F13" s="25"/>
    </row>
    <row r="14" customFormat="false" ht="27.75" hidden="false" customHeight="true" outlineLevel="0" collapsed="false">
      <c r="A14" s="11" t="s">
        <v>151</v>
      </c>
      <c r="B14" s="23" t="s">
        <v>152</v>
      </c>
      <c r="C14" s="23"/>
      <c r="D14" s="24" t="s">
        <v>199</v>
      </c>
      <c r="E14" s="25" t="s">
        <v>200</v>
      </c>
      <c r="F14" s="25"/>
    </row>
    <row r="15" customFormat="false" ht="27.75" hidden="false" customHeight="true" outlineLevel="0" collapsed="false">
      <c r="A15" s="11" t="s">
        <v>153</v>
      </c>
      <c r="B15" s="23" t="s">
        <v>154</v>
      </c>
      <c r="C15" s="23"/>
      <c r="D15" s="24" t="s">
        <v>176</v>
      </c>
      <c r="E15" s="25" t="s">
        <v>201</v>
      </c>
      <c r="F15" s="25"/>
    </row>
    <row r="16" customFormat="false" ht="27.75" hidden="false" customHeight="true" outlineLevel="0" collapsed="false">
      <c r="A16" s="11" t="s">
        <v>155</v>
      </c>
      <c r="B16" s="23" t="s">
        <v>156</v>
      </c>
      <c r="C16" s="23"/>
      <c r="D16" s="24" t="s">
        <v>174</v>
      </c>
      <c r="E16" s="25" t="s">
        <v>202</v>
      </c>
      <c r="F16" s="25"/>
    </row>
    <row r="18" customFormat="false" ht="15" hidden="false" customHeight="false" outlineLevel="0" collapsed="false">
      <c r="A18" s="21" t="s">
        <v>157</v>
      </c>
      <c r="B18" s="21"/>
      <c r="C18" s="21"/>
      <c r="D18" s="21"/>
      <c r="E18" s="21"/>
      <c r="F18" s="21"/>
    </row>
    <row r="19" customFormat="false" ht="15" hidden="false" customHeight="false" outlineLevel="0" collapsed="false">
      <c r="A19" s="15" t="s">
        <v>16</v>
      </c>
      <c r="B19" s="15" t="s">
        <v>33</v>
      </c>
      <c r="C19" s="15" t="s">
        <v>35</v>
      </c>
      <c r="D19" s="15" t="s">
        <v>158</v>
      </c>
      <c r="E19" s="15" t="s">
        <v>23</v>
      </c>
      <c r="F19" s="15" t="s">
        <v>159</v>
      </c>
    </row>
    <row r="20" customFormat="false" ht="54" hidden="false" customHeight="true" outlineLevel="0" collapsed="false">
      <c r="A20" s="16" t="s">
        <v>18</v>
      </c>
      <c r="B20" s="17" t="s">
        <v>41</v>
      </c>
      <c r="C20" s="16" t="s">
        <v>43</v>
      </c>
      <c r="D20" s="26" t="n">
        <v>4</v>
      </c>
      <c r="E20" s="27" t="str">
        <f aca="false">IF(D20="","",IF(D20="NA","No aplica",INDEX({"Deficiente","Insuficiente","Aceptable","Bueno","Excelente"},D20)))</f>
        <v>Bueno</v>
      </c>
      <c r="F20" s="28" t="s">
        <v>203</v>
      </c>
    </row>
    <row r="21" customFormat="false" ht="54" hidden="false" customHeight="true" outlineLevel="0" collapsed="false">
      <c r="A21" s="16" t="s">
        <v>18</v>
      </c>
      <c r="B21" s="17" t="s">
        <v>49</v>
      </c>
      <c r="C21" s="16" t="s">
        <v>51</v>
      </c>
      <c r="D21" s="26" t="n">
        <v>5</v>
      </c>
      <c r="E21" s="27" t="str">
        <f aca="false">IF(D21="","",IF(D21="NA","No aplica",INDEX({"Deficiente","Insuficiente","Aceptable","Bueno","Excelente"},D21)))</f>
        <v>Excelente</v>
      </c>
      <c r="F21" s="28" t="s">
        <v>204</v>
      </c>
    </row>
    <row r="22" customFormat="false" ht="54" hidden="false" customHeight="true" outlineLevel="0" collapsed="false">
      <c r="A22" s="16" t="s">
        <v>18</v>
      </c>
      <c r="B22" s="17" t="s">
        <v>57</v>
      </c>
      <c r="C22" s="16" t="s">
        <v>59</v>
      </c>
      <c r="D22" s="26" t="n">
        <v>5</v>
      </c>
      <c r="E22" s="27" t="str">
        <f aca="false">IF(D22="","",IF(D22="NA","No aplica",INDEX({"Deficiente","Insuficiente","Aceptable","Bueno","Excelente"},D22)))</f>
        <v>Excelente</v>
      </c>
      <c r="F22" s="28" t="s">
        <v>205</v>
      </c>
    </row>
    <row r="23" customFormat="false" ht="54" hidden="false" customHeight="true" outlineLevel="0" collapsed="false">
      <c r="A23" s="16" t="s">
        <v>18</v>
      </c>
      <c r="B23" s="17" t="s">
        <v>65</v>
      </c>
      <c r="C23" s="16" t="s">
        <v>67</v>
      </c>
      <c r="D23" s="26" t="n">
        <v>5</v>
      </c>
      <c r="E23" s="27" t="str">
        <f aca="false">IF(D23="","",IF(D23="NA","No aplica",INDEX({"Deficiente","Insuficiente","Aceptable","Bueno","Excelente"},D23)))</f>
        <v>Excelente</v>
      </c>
      <c r="F23" s="28" t="s">
        <v>206</v>
      </c>
    </row>
    <row r="24" customFormat="false" ht="54" hidden="false" customHeight="true" outlineLevel="0" collapsed="false">
      <c r="A24" s="16" t="s">
        <v>19</v>
      </c>
      <c r="B24" s="17" t="s">
        <v>73</v>
      </c>
      <c r="C24" s="16" t="s">
        <v>75</v>
      </c>
      <c r="D24" s="26" t="n">
        <v>5</v>
      </c>
      <c r="E24" s="27" t="str">
        <f aca="false">IF(D24="","",IF(D24="NA","No aplica",INDEX({"Deficiente","Insuficiente","Aceptable","Bueno","Excelente"},D24)))</f>
        <v>Excelente</v>
      </c>
      <c r="F24" s="28" t="s">
        <v>207</v>
      </c>
    </row>
    <row r="25" customFormat="false" ht="54" hidden="false" customHeight="true" outlineLevel="0" collapsed="false">
      <c r="A25" s="16" t="s">
        <v>19</v>
      </c>
      <c r="B25" s="17" t="s">
        <v>81</v>
      </c>
      <c r="C25" s="16" t="s">
        <v>83</v>
      </c>
      <c r="D25" s="26" t="n">
        <v>5</v>
      </c>
      <c r="E25" s="27" t="str">
        <f aca="false">IF(D25="","",IF(D25="NA","No aplica",INDEX({"Deficiente","Insuficiente","Aceptable","Bueno","Excelente"},D25)))</f>
        <v>Excelente</v>
      </c>
      <c r="F25" s="28" t="s">
        <v>208</v>
      </c>
    </row>
    <row r="26" customFormat="false" ht="54" hidden="false" customHeight="true" outlineLevel="0" collapsed="false">
      <c r="A26" s="16" t="s">
        <v>19</v>
      </c>
      <c r="B26" s="17" t="s">
        <v>89</v>
      </c>
      <c r="C26" s="16" t="s">
        <v>91</v>
      </c>
      <c r="D26" s="26" t="n">
        <v>5</v>
      </c>
      <c r="E26" s="27" t="str">
        <f aca="false">IF(D26="","",IF(D26="NA","No aplica",INDEX({"Deficiente","Insuficiente","Aceptable","Bueno","Excelente"},D26)))</f>
        <v>Excelente</v>
      </c>
      <c r="F26" s="28" t="s">
        <v>209</v>
      </c>
    </row>
    <row r="27" customFormat="false" ht="54" hidden="false" customHeight="true" outlineLevel="0" collapsed="false">
      <c r="A27" s="16" t="s">
        <v>19</v>
      </c>
      <c r="B27" s="17" t="s">
        <v>97</v>
      </c>
      <c r="C27" s="16" t="s">
        <v>99</v>
      </c>
      <c r="D27" s="26" t="n">
        <v>4</v>
      </c>
      <c r="E27" s="27" t="str">
        <f aca="false">IF(D27="","",IF(D27="NA","No aplica",INDEX({"Deficiente","Insuficiente","Aceptable","Bueno","Excelente"},D27)))</f>
        <v>Bueno</v>
      </c>
      <c r="F27" s="28" t="s">
        <v>210</v>
      </c>
    </row>
    <row r="28" customFormat="false" ht="54" hidden="false" customHeight="true" outlineLevel="0" collapsed="false">
      <c r="A28" s="16" t="s">
        <v>20</v>
      </c>
      <c r="B28" s="17" t="s">
        <v>105</v>
      </c>
      <c r="C28" s="16" t="s">
        <v>107</v>
      </c>
      <c r="D28" s="26" t="n">
        <v>5</v>
      </c>
      <c r="E28" s="27" t="str">
        <f aca="false">IF(D28="","",IF(D28="NA","No aplica",INDEX({"Deficiente","Insuficiente","Aceptable","Bueno","Excelente"},D28)))</f>
        <v>Excelente</v>
      </c>
      <c r="F28" s="28" t="s">
        <v>211</v>
      </c>
    </row>
    <row r="29" customFormat="false" ht="54" hidden="false" customHeight="true" outlineLevel="0" collapsed="false">
      <c r="A29" s="16" t="s">
        <v>20</v>
      </c>
      <c r="B29" s="17" t="s">
        <v>113</v>
      </c>
      <c r="C29" s="16" t="s">
        <v>115</v>
      </c>
      <c r="D29" s="26" t="n">
        <v>4</v>
      </c>
      <c r="E29" s="27" t="str">
        <f aca="false">IF(D29="","",IF(D29="NA","No aplica",INDEX({"Deficiente","Insuficiente","Aceptable","Bueno","Excelente"},D29)))</f>
        <v>Bueno</v>
      </c>
      <c r="F29" s="28" t="s">
        <v>212</v>
      </c>
    </row>
    <row r="30" customFormat="false" ht="54" hidden="false" customHeight="true" outlineLevel="0" collapsed="false">
      <c r="A30" s="16" t="s">
        <v>20</v>
      </c>
      <c r="B30" s="17" t="s">
        <v>121</v>
      </c>
      <c r="C30" s="16" t="s">
        <v>123</v>
      </c>
      <c r="D30" s="26" t="n">
        <v>4</v>
      </c>
      <c r="E30" s="27" t="str">
        <f aca="false">IF(D30="","",IF(D30="NA","No aplica",INDEX({"Deficiente","Insuficiente","Aceptable","Bueno","Excelente"},D30)))</f>
        <v>Bueno</v>
      </c>
      <c r="F30" s="28" t="s">
        <v>213</v>
      </c>
    </row>
    <row r="31" customFormat="false" ht="54" hidden="false" customHeight="true" outlineLevel="0" collapsed="false">
      <c r="A31" s="16" t="s">
        <v>20</v>
      </c>
      <c r="B31" s="17" t="s">
        <v>129</v>
      </c>
      <c r="C31" s="16" t="s">
        <v>130</v>
      </c>
      <c r="D31" s="26" t="n">
        <v>1</v>
      </c>
      <c r="E31" s="27" t="str">
        <f aca="false">IF(D31="","",IF(D31="NA","No aplica",INDEX({"Deficiente","Insuficiente","Aceptable","Bueno","Excelente"},D31)))</f>
        <v>Deficiente</v>
      </c>
      <c r="F31" s="28" t="s">
        <v>214</v>
      </c>
    </row>
    <row r="33" customFormat="false" ht="15" hidden="false" customHeight="false" outlineLevel="0" collapsed="false">
      <c r="A33" s="21" t="s">
        <v>160</v>
      </c>
      <c r="B33" s="21"/>
      <c r="C33" s="21"/>
      <c r="D33" s="21"/>
      <c r="E33" s="21"/>
      <c r="F33" s="21"/>
    </row>
    <row r="34" customFormat="false" ht="15" hidden="false" customHeight="false" outlineLevel="0" collapsed="false">
      <c r="A34" s="11" t="s">
        <v>18</v>
      </c>
      <c r="B34" s="29" t="n">
        <f aca="false">Parametros!B4</f>
        <v>0.4</v>
      </c>
      <c r="C34" s="30" t="n">
        <f aca="false">IFERROR(AVERAGEIF($A$20:$A$31,A34,$D$20:$D$31),"")</f>
        <v>4.75</v>
      </c>
      <c r="D34" s="31" t="s">
        <v>161</v>
      </c>
    </row>
    <row r="35" customFormat="false" ht="15" hidden="false" customHeight="false" outlineLevel="0" collapsed="false">
      <c r="A35" s="11" t="s">
        <v>19</v>
      </c>
      <c r="B35" s="29" t="n">
        <f aca="false">Parametros!B5</f>
        <v>0.25</v>
      </c>
      <c r="C35" s="30" t="n">
        <f aca="false">IFERROR(AVERAGEIF($A$20:$A$31,A35,$D$20:$D$31),"")</f>
        <v>4.75</v>
      </c>
    </row>
    <row r="36" customFormat="false" ht="15" hidden="false" customHeight="false" outlineLevel="0" collapsed="false">
      <c r="A36" s="11" t="s">
        <v>20</v>
      </c>
      <c r="B36" s="29" t="n">
        <f aca="false">Parametros!B6</f>
        <v>0.35</v>
      </c>
      <c r="C36" s="30" t="n">
        <f aca="false">IFERROR(AVERAGEIF($A$20:$A$31,A36,$D$20:$D$31),"")</f>
        <v>3.5</v>
      </c>
    </row>
    <row r="37" customFormat="false" ht="15" hidden="false" customHeight="false" outlineLevel="0" collapsed="false">
      <c r="A37" s="32" t="s">
        <v>162</v>
      </c>
      <c r="C37" s="33" t="n">
        <f aca="false">IF(COUNT(D20:D31)=0,"",IFERROR(SUMPRODUCT(B34:B36,C34:C36)/SUM(B34:B36),""))</f>
        <v>4.3125</v>
      </c>
    </row>
    <row r="38" customFormat="false" ht="15" hidden="false" customHeight="false" outlineLevel="0" collapsed="false">
      <c r="A38" s="11" t="s">
        <v>163</v>
      </c>
      <c r="C38" s="34" t="n">
        <f aca="false">IFERROR(C37/5,"")</f>
        <v>0.8625</v>
      </c>
    </row>
    <row r="39" customFormat="false" ht="15" hidden="false" customHeight="false" outlineLevel="0" collapsed="false">
      <c r="A39" s="11" t="s">
        <v>23</v>
      </c>
      <c r="C39" s="35" t="str">
        <f aca="false">IF(C37="","",IF(C37&gt;=Parametros!$A$10,Parametros!$B$10,IF(C37&gt;=Parametros!$A$11,Parametros!$B$11,Parametros!$B$12)))</f>
        <v>Alto</v>
      </c>
    </row>
    <row r="40" customFormat="false" ht="15" hidden="false" customHeight="false" outlineLevel="0" collapsed="false">
      <c r="A40" s="11" t="s">
        <v>164</v>
      </c>
      <c r="C40" s="36" t="str">
        <f aca="false">IF(C37="","",IF(OR(AND(ISNUMBER(D30),D30&lt;=2),AND(ISNUMBER(D31),D31&lt;=2)),"Se activa (C11 o C12 ≤ 2)","No se activa"))</f>
        <v>Se activa (C11 o C12 ≤ 2)</v>
      </c>
    </row>
    <row r="41" customFormat="false" ht="15" hidden="false" customHeight="false" outlineLevel="0" collapsed="false">
      <c r="A41" s="32" t="s">
        <v>24</v>
      </c>
      <c r="C41" s="37" t="str">
        <f aca="false">IF(C37="","",IF(C37&gt;=Parametros!$A$10,IF(LEFT(C40,3)="Se ","Recomendado con condiciones de uso",Parametros!$C$10),IF(C37&gt;=Parametros!$A$11,Parametros!$C$11,Parametros!$C$12)))</f>
        <v>Recomendado con condiciones de uso</v>
      </c>
    </row>
    <row r="43" customFormat="false" ht="15" hidden="false" customHeight="false" outlineLevel="0" collapsed="false">
      <c r="A43" s="21" t="s">
        <v>165</v>
      </c>
      <c r="B43" s="21"/>
      <c r="C43" s="21"/>
      <c r="D43" s="21"/>
      <c r="E43" s="21"/>
      <c r="F43" s="21"/>
    </row>
    <row r="44" customFormat="false" ht="30" hidden="false" customHeight="true" outlineLevel="0" collapsed="false">
      <c r="A44" s="38" t="s">
        <v>215</v>
      </c>
      <c r="B44" s="38"/>
      <c r="C44" s="38"/>
      <c r="D44" s="38"/>
      <c r="E44" s="38"/>
      <c r="F44" s="38"/>
    </row>
    <row r="45" customFormat="false" ht="30" hidden="false" customHeight="true" outlineLevel="0" collapsed="false">
      <c r="A45" s="38" t="s">
        <v>216</v>
      </c>
      <c r="B45" s="38"/>
      <c r="C45" s="38"/>
      <c r="D45" s="38"/>
      <c r="E45" s="38"/>
      <c r="F45" s="38"/>
    </row>
    <row r="46" customFormat="false" ht="30" hidden="false" customHeight="true" outlineLevel="0" collapsed="false">
      <c r="A46" s="38" t="s">
        <v>217</v>
      </c>
      <c r="B46" s="38"/>
      <c r="C46" s="38"/>
      <c r="D46" s="38"/>
      <c r="E46" s="38"/>
      <c r="F46" s="38"/>
    </row>
    <row r="48" customFormat="false" ht="15" hidden="false" customHeight="false" outlineLevel="0" collapsed="false">
      <c r="A48" s="31" t="s">
        <v>218</v>
      </c>
    </row>
  </sheetData>
  <mergeCells count="22">
    <mergeCell ref="A1:F1"/>
    <mergeCell ref="A4:F4"/>
    <mergeCell ref="B5:F5"/>
    <mergeCell ref="B6:F6"/>
    <mergeCell ref="B7:F7"/>
    <mergeCell ref="B8:F8"/>
    <mergeCell ref="B9:F9"/>
    <mergeCell ref="A11:F11"/>
    <mergeCell ref="B13:C13"/>
    <mergeCell ref="E13:F13"/>
    <mergeCell ref="B14:C14"/>
    <mergeCell ref="E14:F14"/>
    <mergeCell ref="B15:C15"/>
    <mergeCell ref="E15:F15"/>
    <mergeCell ref="B16:C16"/>
    <mergeCell ref="E16:F16"/>
    <mergeCell ref="A18:F18"/>
    <mergeCell ref="A33:F33"/>
    <mergeCell ref="A43:F43"/>
    <mergeCell ref="A44:F44"/>
    <mergeCell ref="A45:F45"/>
    <mergeCell ref="A46:F46"/>
  </mergeCells>
  <dataValidations count="2">
    <dataValidation allowBlank="true" errorStyle="stop" operator="between" showDropDown="false" showErrorMessage="false" showInputMessage="false" sqref="D13:D16" type="list">
      <formula1>"Sí,Parcial,No"</formula1>
      <formula2>0</formula2>
    </dataValidation>
    <dataValidation allowBlank="true" errorStyle="stop" operator="between" showDropDown="false" showErrorMessage="false" showInputMessage="false" sqref="D20:D31" type="list">
      <formula1>"1,2,3,4,5,NA"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7" t="s">
        <v>219</v>
      </c>
    </row>
    <row r="3" customFormat="false" ht="15" hidden="false" customHeight="false" outlineLevel="0" collapsed="false">
      <c r="A3" s="39" t="s">
        <v>220</v>
      </c>
      <c r="B3" s="39" t="s">
        <v>221</v>
      </c>
      <c r="C3" s="39" t="s">
        <v>222</v>
      </c>
      <c r="D3" s="39" t="s">
        <v>223</v>
      </c>
      <c r="E3" s="39" t="s">
        <v>224</v>
      </c>
      <c r="F3" s="39" t="s">
        <v>225</v>
      </c>
    </row>
    <row r="4" customFormat="false" ht="15" hidden="false" customHeight="false" outlineLevel="0" collapsed="false">
      <c r="A4" s="11" t="s">
        <v>226</v>
      </c>
      <c r="B4" s="40" t="n">
        <v>3.9</v>
      </c>
      <c r="C4" s="40" t="n">
        <v>4.1</v>
      </c>
      <c r="D4" s="40" t="n">
        <v>3.6</v>
      </c>
      <c r="E4" s="41" t="n">
        <f aca="false">'Educ.ar'!C37</f>
        <v>3.4375</v>
      </c>
      <c r="F4" s="42" t="str">
        <f aca="false">'Educ.ar'!C41</f>
        <v>Recomendado con ajustes</v>
      </c>
    </row>
    <row r="5" customFormat="false" ht="15" hidden="false" customHeight="false" outlineLevel="0" collapsed="false">
      <c r="A5" s="11" t="s">
        <v>227</v>
      </c>
      <c r="B5" s="40" t="n">
        <v>4.7</v>
      </c>
      <c r="C5" s="40" t="n">
        <v>4.7</v>
      </c>
      <c r="D5" s="40" t="n">
        <v>4.9</v>
      </c>
      <c r="E5" s="41" t="n">
        <f aca="false">Scratch!C37</f>
        <v>4.3125</v>
      </c>
      <c r="F5" s="42" t="str">
        <f aca="false">Scratch!C41</f>
        <v>Recomendado con condiciones de uso</v>
      </c>
    </row>
    <row r="7" customFormat="false" ht="15" hidden="false" customHeight="false" outlineLevel="0" collapsed="false">
      <c r="A7" s="14" t="s">
        <v>228</v>
      </c>
    </row>
    <row r="8" customFormat="false" ht="15" hidden="false" customHeight="false" outlineLevel="0" collapsed="false">
      <c r="A8" s="9" t="s">
        <v>229</v>
      </c>
    </row>
    <row r="9" customFormat="false" ht="15" hidden="false" customHeight="false" outlineLevel="0" collapsed="false">
      <c r="A9" s="11" t="s">
        <v>226</v>
      </c>
      <c r="B9" s="43" t="n">
        <f aca="false">E4-AVERAGE(B4:D4)</f>
        <v>-0.429166666666667</v>
      </c>
    </row>
    <row r="10" customFormat="false" ht="15" hidden="false" customHeight="false" outlineLevel="0" collapsed="false">
      <c r="A10" s="11" t="s">
        <v>227</v>
      </c>
      <c r="B10" s="43" t="n">
        <f aca="false">E5-AVERAGE(B5:D5)</f>
        <v>-0.454166666666667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2026-10-22T03:51:05Z</dcterms:created>
  <dc:creator>openpyxl</dc:creator>
  <dc:description/>
  <dc:language>en-US</dc:language>
  <cp:lastModifiedBy/>
  <dcterms:modified xsi:type="dcterms:W3CDTF">2026-10-22T03:51:05Z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